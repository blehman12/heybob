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Features" sheetId="1" state="visible" r:id="rId3"/>
    <sheet name="By Priority" sheetId="2" state="visible" r:id="rId4"/>
    <sheet name="By State" sheetId="3" state="visible" r:id="rId5"/>
    <sheet name="Summary Dashboard" sheetId="4" state="visible" r:id="rId6"/>
    <sheet name="Next A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<sst xmlns="http://schemas.openxmlformats.org/spreadsheetml/2006/main" count="1762" uniqueCount="313">
  <si>
    <t xml:space="preserve">Category</t>
  </si>
  <si>
    <t xml:space="preserve">Feature</t>
  </si>
  <si>
    <t xml:space="preserve">Description</t>
  </si>
  <si>
    <t xml:space="preserve">State</t>
  </si>
  <si>
    <t xml:space="preserve">Priority</t>
  </si>
  <si>
    <t xml:space="preserve">Notes</t>
  </si>
  <si>
    <t xml:space="preserve">Owner</t>
  </si>
  <si>
    <t xml:space="preserve">Target Date</t>
  </si>
  <si>
    <t xml:space="preserve">Auth &amp; Users</t>
  </si>
  <si>
    <t xml:space="preserve">User Registration</t>
  </si>
  <si>
    <t xml:space="preserve">Sign up with email/password</t>
  </si>
  <si>
    <t xml:space="preserve">Production</t>
  </si>
  <si>
    <t xml:space="preserve">P0</t>
  </si>
  <si>
    <t xml:space="preserve">Devise-based</t>
  </si>
  <si>
    <t xml:space="preserve">User Login</t>
  </si>
  <si>
    <t xml:space="preserve">Email/password authentication</t>
  </si>
  <si>
    <t xml:space="preserve">Working in Phase 1</t>
  </si>
  <si>
    <t xml:space="preserve">User Roles</t>
  </si>
  <si>
    <t xml:space="preserve">Admin vs regular user permissions</t>
  </si>
  <si>
    <t xml:space="preserve">Basic role system</t>
  </si>
  <si>
    <t xml:space="preserve">User Profile</t>
  </si>
  <si>
    <t xml:space="preserve">View/edit personal information</t>
  </si>
  <si>
    <t xml:space="preserve">P1</t>
  </si>
  <si>
    <t xml:space="preserve">Basic profile working</t>
  </si>
  <si>
    <t xml:space="preserve">Password Reset</t>
  </si>
  <si>
    <t xml:space="preserve">Email-based password recovery</t>
  </si>
  <si>
    <t xml:space="preserve">Test</t>
  </si>
  <si>
    <t xml:space="preserve">Devise provides this</t>
  </si>
  <si>
    <t xml:space="preserve">Multi-factor Auth</t>
  </si>
  <si>
    <t xml:space="preserve">2FA for enhanced security</t>
  </si>
  <si>
    <t xml:space="preserve">Idea</t>
  </si>
  <si>
    <t xml:space="preserve">P3</t>
  </si>
  <si>
    <t xml:space="preserve">Future consideration</t>
  </si>
  <si>
    <t xml:space="preserve">Event Management</t>
  </si>
  <si>
    <t xml:space="preserve">Create Event</t>
  </si>
  <si>
    <t xml:space="preserve">Admin can create new events</t>
  </si>
  <si>
    <t xml:space="preserve">Working</t>
  </si>
  <si>
    <t xml:space="preserve">Edit Event</t>
  </si>
  <si>
    <t xml:space="preserve">Modify event details</t>
  </si>
  <si>
    <t xml:space="preserve">Needs UAT</t>
  </si>
  <si>
    <t xml:space="preserve">Delete Event</t>
  </si>
  <si>
    <t xml:space="preserve">Remove events</t>
  </si>
  <si>
    <t xml:space="preserve">Event Details</t>
  </si>
  <si>
    <t xml:space="preserve">Name, description, date/time</t>
  </si>
  <si>
    <t xml:space="preserve">Complete</t>
  </si>
  <si>
    <t xml:space="preserve">Event Capacity</t>
  </si>
  <si>
    <t xml:space="preserve">Max attendees tracking</t>
  </si>
  <si>
    <t xml:space="preserve">Implemented</t>
  </si>
  <si>
    <t xml:space="preserve">RSVP Deadline</t>
  </si>
  <si>
    <t xml:space="preserve">Cut-off date for responses</t>
  </si>
  <si>
    <t xml:space="preserve">Event Statistics</t>
  </si>
  <si>
    <t xml:space="preserve">Attendee counts, RSVP breakdown</t>
  </si>
  <si>
    <t xml:space="preserve">Admin event show page</t>
  </si>
  <si>
    <t xml:space="preserve">Event Types</t>
  </si>
  <si>
    <t xml:space="preserve">Conference, Convention, Concert, Party</t>
  </si>
  <si>
    <t xml:space="preserve">P2</t>
  </si>
  <si>
    <t xml:space="preserve">Needs design</t>
  </si>
  <si>
    <t xml:space="preserve">Multi-day Events</t>
  </si>
  <si>
    <t xml:space="preserve">Events spanning multiple days</t>
  </si>
  <si>
    <t xml:space="preserve">Not yet designed</t>
  </si>
  <si>
    <t xml:space="preserve">Recurring Events</t>
  </si>
  <si>
    <t xml:space="preserve">Repeating event templates</t>
  </si>
  <si>
    <t xml:space="preserve">Future feature</t>
  </si>
  <si>
    <t xml:space="preserve">RSVP &amp; Attendance</t>
  </si>
  <si>
    <t xml:space="preserve">RSVP Status</t>
  </si>
  <si>
    <t xml:space="preserve">Yes/Maybe/No responses</t>
  </si>
  <si>
    <t xml:space="preserve">Fixed in Phase 1</t>
  </si>
  <si>
    <t xml:space="preserve">RSVP Data Model</t>
  </si>
  <si>
    <t xml:space="preserve">EventParticipant tracking</t>
  </si>
  <si>
    <t xml:space="preserve">Correct architecture</t>
  </si>
  <si>
    <t xml:space="preserve">RSVP UI</t>
  </si>
  <si>
    <t xml:space="preserve">User can change RSVP</t>
  </si>
  <si>
    <t xml:space="preserve">Buttons render, need click test</t>
  </si>
  <si>
    <t xml:space="preserve">View RSVPs</t>
  </si>
  <si>
    <t xml:space="preserve">Admin can see all responses</t>
  </si>
  <si>
    <t xml:space="preserve">Working in admin panel</t>
  </si>
  <si>
    <t xml:space="preserve">Quick RSVP (Public)</t>
  </si>
  <si>
    <t xml:space="preserve">No-login RSVP via shareable link</t>
  </si>
  <si>
    <t xml:space="preserve">BLOCKER for Boat Party - needs email workaround</t>
  </si>
  <si>
    <t xml:space="preserve">Waitlist</t>
  </si>
  <si>
    <t xml:space="preserve">Queue when event is full</t>
  </si>
  <si>
    <t xml:space="preserve">Design</t>
  </si>
  <si>
    <t xml:space="preserve">Needs requirements</t>
  </si>
  <si>
    <t xml:space="preserve">Plus-Ones</t>
  </si>
  <si>
    <t xml:space="preserve">Guest attendees</t>
  </si>
  <si>
    <t xml:space="preserve">Check-in</t>
  </si>
  <si>
    <t xml:space="preserve">Mark attendees as present</t>
  </si>
  <si>
    <t xml:space="preserve">Feature exists, needs UAT</t>
  </si>
  <si>
    <t xml:space="preserve">QR Code Check-in</t>
  </si>
  <si>
    <t xml:space="preserve">Scan to check in</t>
  </si>
  <si>
    <t xml:space="preserve">Would be valuable</t>
  </si>
  <si>
    <t xml:space="preserve">Participant Mgmt</t>
  </si>
  <si>
    <t xml:space="preserve">Add Participants</t>
  </si>
  <si>
    <t xml:space="preserve">Manually add users to event</t>
  </si>
  <si>
    <t xml:space="preserve">Needs testing</t>
  </si>
  <si>
    <t xml:space="preserve">Bulk Invite</t>
  </si>
  <si>
    <t xml:space="preserve">Invite multiple users at once</t>
  </si>
  <si>
    <t xml:space="preserve">Exists, needs UAT</t>
  </si>
  <si>
    <t xml:space="preserve">Remove Participants</t>
  </si>
  <si>
    <t xml:space="preserve">Remove users from event</t>
  </si>
  <si>
    <t xml:space="preserve">Participant List</t>
  </si>
  <si>
    <t xml:space="preserve">View all event attendees</t>
  </si>
  <si>
    <t xml:space="preserve">Export CSV</t>
  </si>
  <si>
    <t xml:space="preserve">Download participant data</t>
  </si>
  <si>
    <t xml:space="preserve">Import CSV</t>
  </si>
  <si>
    <t xml:space="preserve">Bulk import users</t>
  </si>
  <si>
    <t xml:space="preserve">Not yet implemented</t>
  </si>
  <si>
    <t xml:space="preserve">Venue Management</t>
  </si>
  <si>
    <t xml:space="preserve">Create Venue</t>
  </si>
  <si>
    <t xml:space="preserve">Add venue to system</t>
  </si>
  <si>
    <t xml:space="preserve">Edit Venue</t>
  </si>
  <si>
    <t xml:space="preserve">Modify venue details</t>
  </si>
  <si>
    <t xml:space="preserve">Venue Information</t>
  </si>
  <si>
    <t xml:space="preserve">Name, address, capacity</t>
  </si>
  <si>
    <t xml:space="preserve">Basic info working</t>
  </si>
  <si>
    <t xml:space="preserve">Multiple Venues</t>
  </si>
  <si>
    <t xml:space="preserve">Support many venues</t>
  </si>
  <si>
    <t xml:space="preserve">Architecture supports</t>
  </si>
  <si>
    <t xml:space="preserve">Venue Photos</t>
  </si>
  <si>
    <t xml:space="preserve">Image uploads for venues</t>
  </si>
  <si>
    <t xml:space="preserve">Not implemented</t>
  </si>
  <si>
    <t xml:space="preserve">Venue Amenities</t>
  </si>
  <si>
    <t xml:space="preserve">Track facilities/features</t>
  </si>
  <si>
    <t xml:space="preserve">Communication</t>
  </si>
  <si>
    <t xml:space="preserve">Email Notifications</t>
  </si>
  <si>
    <t xml:space="preserve">Event updates via email</t>
  </si>
  <si>
    <t xml:space="preserve">Dev</t>
  </si>
  <si>
    <t xml:space="preserve">Sidekiq configured, pending test</t>
  </si>
  <si>
    <t xml:space="preserve">RSVP Confirmations</t>
  </si>
  <si>
    <t xml:space="preserve">Auto-email on RSVP</t>
  </si>
  <si>
    <t xml:space="preserve">Mailer exists, needs connection_pool fix</t>
  </si>
  <si>
    <t xml:space="preserve">Bulk Emails</t>
  </si>
  <si>
    <t xml:space="preserve">Send to all attendees</t>
  </si>
  <si>
    <t xml:space="preserve">Email Templates</t>
  </si>
  <si>
    <t xml:space="preserve">Customizable email layouts</t>
  </si>
  <si>
    <t xml:space="preserve">Not designed</t>
  </si>
  <si>
    <t xml:space="preserve">SMS Notifications</t>
  </si>
  <si>
    <t xml:space="preserve">Text message alerts</t>
  </si>
  <si>
    <t xml:space="preserve">In-app Messaging</t>
  </si>
  <si>
    <t xml:space="preserve">User-to-user messaging</t>
  </si>
  <si>
    <t xml:space="preserve">From todo doc</t>
  </si>
  <si>
    <t xml:space="preserve">Social Media Integration</t>
  </si>
  <si>
    <t xml:space="preserve">Post to external platforms</t>
  </si>
  <si>
    <t xml:space="preserve">Admin Features</t>
  </si>
  <si>
    <t xml:space="preserve">Admin Dashboard</t>
  </si>
  <si>
    <t xml:space="preserve">Overview of all events</t>
  </si>
  <si>
    <t xml:space="preserve">Working with nil checks</t>
  </si>
  <si>
    <t xml:space="preserve">Admin Panel</t>
  </si>
  <si>
    <t xml:space="preserve">Administrative interface</t>
  </si>
  <si>
    <t xml:space="preserve">Rails Admin or custom</t>
  </si>
  <si>
    <t xml:space="preserve">User Management</t>
  </si>
  <si>
    <t xml:space="preserve">Admin CRUD for users</t>
  </si>
  <si>
    <t xml:space="preserve">Admin CRUD for events</t>
  </si>
  <si>
    <t xml:space="preserve">Sidekiq Dashboard</t>
  </si>
  <si>
    <t xml:space="preserve">Background job monitoring</t>
  </si>
  <si>
    <t xml:space="preserve">Mounted at /admin/sidekiq</t>
  </si>
  <si>
    <t xml:space="preserve">Analytics</t>
  </si>
  <si>
    <t xml:space="preserve">Event metrics and trends</t>
  </si>
  <si>
    <t xml:space="preserve">Audit Logs</t>
  </si>
  <si>
    <t xml:space="preserve">Track admin actions</t>
  </si>
  <si>
    <t xml:space="preserve">Infrastructure</t>
  </si>
  <si>
    <t xml:space="preserve">Database (SQLite)</t>
  </si>
  <si>
    <t xml:space="preserve">Development database</t>
  </si>
  <si>
    <t xml:space="preserve">Database (PostgreSQL)</t>
  </si>
  <si>
    <t xml:space="preserve">Production database</t>
  </si>
  <si>
    <t xml:space="preserve">Configured but not deployed</t>
  </si>
  <si>
    <t xml:space="preserve">Background Jobs</t>
  </si>
  <si>
    <t xml:space="preserve">Sidekiq for async tasks</t>
  </si>
  <si>
    <t xml:space="preserve">Installed, connection_pool issue</t>
  </si>
  <si>
    <t xml:space="preserve">Redis</t>
  </si>
  <si>
    <t xml:space="preserve">Cache and job queue</t>
  </si>
  <si>
    <t xml:space="preserve">v7.2.4 installed</t>
  </si>
  <si>
    <t xml:space="preserve">File Uploads</t>
  </si>
  <si>
    <t xml:space="preserve">Image/document handling</t>
  </si>
  <si>
    <t xml:space="preserve">API</t>
  </si>
  <si>
    <t xml:space="preserve">RESTful API endpoints</t>
  </si>
  <si>
    <t xml:space="preserve">Mobile App</t>
  </si>
  <si>
    <t xml:space="preserve">iOS/Android clients</t>
  </si>
  <si>
    <t xml:space="preserve">Deployment Pipeline</t>
  </si>
  <si>
    <t xml:space="preserve">CI/CD automation</t>
  </si>
  <si>
    <t xml:space="preserve">Not set up</t>
  </si>
  <si>
    <t xml:space="preserve">Contact Enhancement</t>
  </si>
  <si>
    <t xml:space="preserve">Multiple Emails</t>
  </si>
  <si>
    <t xml:space="preserve">Primary, secondary emails per user</t>
  </si>
  <si>
    <t xml:space="preserve">Phase 2 - entity enhancement</t>
  </si>
  <si>
    <t xml:space="preserve">Multiple Phone Numbers</t>
  </si>
  <si>
    <t xml:space="preserve">Mobile, home, office numbers</t>
  </si>
  <si>
    <t xml:space="preserve">Enhanced contact info</t>
  </si>
  <si>
    <t xml:space="preserve">Multiple Addresses</t>
  </si>
  <si>
    <t xml:space="preserve">Home, work, mailing addresses</t>
  </si>
  <si>
    <t xml:space="preserve">For physical invites</t>
  </si>
  <si>
    <t xml:space="preserve">Social Media Links</t>
  </si>
  <si>
    <t xml:space="preserve">Facebook, LinkedIn, Twitter profiles</t>
  </si>
  <si>
    <t xml:space="preserve">Professional networking</t>
  </si>
  <si>
    <t xml:space="preserve">Vendor Profiles</t>
  </si>
  <si>
    <t xml:space="preserve">Business information for vendors</t>
  </si>
  <si>
    <t xml:space="preserve">Vendor management</t>
  </si>
  <si>
    <t xml:space="preserve">Venue Profiles</t>
  </si>
  <si>
    <t xml:space="preserve">Enhanced venue data</t>
  </si>
  <si>
    <t xml:space="preserve">Better venue tracking</t>
  </si>
  <si>
    <t xml:space="preserve">Resource Matching</t>
  </si>
  <si>
    <t xml:space="preserve">User Profiles Enhanced</t>
  </si>
  <si>
    <t xml:space="preserve">Skills, interests, resources</t>
  </si>
  <si>
    <t xml:space="preserve">Pin for later discussion</t>
  </si>
  <si>
    <t xml:space="preserve">Resource Tags</t>
  </si>
  <si>
    <t xml:space="preserve">Categorization system</t>
  </si>
  <si>
    <t xml:space="preserve">Replacement for old tags</t>
  </si>
  <si>
    <t xml:space="preserve">AI-driven Matching</t>
  </si>
  <si>
    <t xml:space="preserve">Smart recommendations</t>
  </si>
  <si>
    <t xml:space="preserve">Interesting concept</t>
  </si>
  <si>
    <t xml:space="preserve">Rideshare Matching</t>
  </si>
  <si>
    <t xml:space="preserve">Connect attendees for travel</t>
  </si>
  <si>
    <t xml:space="preserve">Specific use case</t>
  </si>
  <si>
    <t xml:space="preserve">Interest Groups</t>
  </si>
  <si>
    <t xml:space="preserve">Pokemon example, etc.</t>
  </si>
  <si>
    <t xml:space="preserve">Community building</t>
  </si>
  <si>
    <t xml:space="preserve">Conference Type</t>
  </si>
  <si>
    <t xml:space="preserve">Booths, speakers, sessions</t>
  </si>
  <si>
    <t xml:space="preserve">Specialized features</t>
  </si>
  <si>
    <t xml:space="preserve">Convention Type</t>
  </si>
  <si>
    <t xml:space="preserve">Vendor halls, panels</t>
  </si>
  <si>
    <t xml:space="preserve">Your sweet spot</t>
  </si>
  <si>
    <t xml:space="preserve">Concert Type</t>
  </si>
  <si>
    <t xml:space="preserve">Ticketing, seating</t>
  </si>
  <si>
    <t xml:space="preserve">Different model</t>
  </si>
  <si>
    <t xml:space="preserve">Party Type</t>
  </si>
  <si>
    <t xml:space="preserve">Casual gatherings</t>
  </si>
  <si>
    <t xml:space="preserve">Simpler features</t>
  </si>
  <si>
    <t xml:space="preserve">Booth Management</t>
  </si>
  <si>
    <t xml:space="preserve">Vendor booth assignments</t>
  </si>
  <si>
    <t xml:space="preserve">Convention-specific</t>
  </si>
  <si>
    <t xml:space="preserve">Speaker Management</t>
  </si>
  <si>
    <t xml:space="preserve">Track speakers/panels</t>
  </si>
  <si>
    <t xml:space="preserve">Conference-specific</t>
  </si>
  <si>
    <t xml:space="preserve">Session Scheduling</t>
  </si>
  <si>
    <t xml:space="preserve">Conference sessions</t>
  </si>
  <si>
    <t xml:space="preserve">Complex feature</t>
  </si>
  <si>
    <t xml:space="preserve">Messaging (Advanced)</t>
  </si>
  <si>
    <t xml:space="preserve">Protected User Messaging</t>
  </si>
  <si>
    <t xml:space="preserve">In-app communication with privacy</t>
  </si>
  <si>
    <t xml:space="preserve">Privacy considerations</t>
  </si>
  <si>
    <t xml:space="preserve">Vendor Broadcasts</t>
  </si>
  <si>
    <t xml:space="preserve">Vendors message attendees</t>
  </si>
  <si>
    <t xml:space="preserve">Marketing capability</t>
  </si>
  <si>
    <t xml:space="preserve">Event Announcements</t>
  </si>
  <si>
    <t xml:space="preserve">Official event messages</t>
  </si>
  <si>
    <t xml:space="preserve">Communication tool</t>
  </si>
  <si>
    <t xml:space="preserve">Message Permissions</t>
  </si>
  <si>
    <t xml:space="preserve">Who can message whom</t>
  </si>
  <si>
    <t xml:space="preserve">Privacy/safety</t>
  </si>
  <si>
    <t xml:space="preserve">Marketplace</t>
  </si>
  <si>
    <t xml:space="preserve">Vendor Marketplace</t>
  </si>
  <si>
    <t xml:space="preserve">In/out of event sales</t>
  </si>
  <si>
    <t xml:space="preserve">Revenue opportunity</t>
  </si>
  <si>
    <t xml:space="preserve">Cryptocurrency Support</t>
  </si>
  <si>
    <t xml:space="preserve">Payment innovation</t>
  </si>
  <si>
    <t xml:space="preserve">Needs definition</t>
  </si>
  <si>
    <t xml:space="preserve">POS Integration</t>
  </si>
  <si>
    <t xml:space="preserve">Point of sale systems</t>
  </si>
  <si>
    <t xml:space="preserve">Long-term integration</t>
  </si>
  <si>
    <t xml:space="preserve">Payment Processing</t>
  </si>
  <si>
    <t xml:space="preserve">Stripe/PayPal</t>
  </si>
  <si>
    <t xml:space="preserve">For paid events</t>
  </si>
  <si>
    <t xml:space="preserve">Ticketing</t>
  </si>
  <si>
    <t xml:space="preserve">Paid ticket sales</t>
  </si>
  <si>
    <t xml:space="preserve">Revenue feature</t>
  </si>
  <si>
    <t xml:space="preserve">Subscription Model</t>
  </si>
  <si>
    <t xml:space="preserve">Recurring revenue</t>
  </si>
  <si>
    <t xml:space="preserve">Business model</t>
  </si>
  <si>
    <t xml:space="preserve">Testing &amp; Quality</t>
  </si>
  <si>
    <t xml:space="preserve">Unit Tests</t>
  </si>
  <si>
    <t xml:space="preserve">Model/controller tests</t>
  </si>
  <si>
    <t xml:space="preserve">Minimal coverage</t>
  </si>
  <si>
    <t xml:space="preserve">Integration Tests</t>
  </si>
  <si>
    <t xml:space="preserve">End-to-end testing</t>
  </si>
  <si>
    <t xml:space="preserve">Performance Tests</t>
  </si>
  <si>
    <t xml:space="preserve">Load/stress testing with FactoryBot</t>
  </si>
  <si>
    <t xml:space="preserve">Need setup</t>
  </si>
  <si>
    <t xml:space="preserve">Security Audit</t>
  </si>
  <si>
    <t xml:space="preserve">Vulnerability assessment</t>
  </si>
  <si>
    <t xml:space="preserve">Pre-production</t>
  </si>
  <si>
    <t xml:space="preserve">Accessibility</t>
  </si>
  <si>
    <t xml:space="preserve">WCAG compliance</t>
  </si>
  <si>
    <t xml:space="preserve">CONFAB/EVM1 FEATURE INVENTORY SUMMARY</t>
  </si>
  <si>
    <t xml:space="preserve">Generated:</t>
  </si>
  <si>
    <t xml:space="preserve">February 14, 2026</t>
  </si>
  <si>
    <t xml:space="preserve">Total Features:</t>
  </si>
  <si>
    <t xml:space="preserve">FEATURES BY STATE</t>
  </si>
  <si>
    <t xml:space="preserve">Count</t>
  </si>
  <si>
    <t xml:space="preserve">Percentage</t>
  </si>
  <si>
    <t xml:space="preserve">UAT</t>
  </si>
  <si>
    <t xml:space="preserve">FEATURES BY PRIORITY</t>
  </si>
  <si>
    <t xml:space="preserve">TOP CATEGORIES</t>
  </si>
  <si>
    <t xml:space="preserve">IMMEDIATE NEXT ACTIONS</t>
  </si>
  <si>
    <t xml:space="preserve">Action Item</t>
  </si>
  <si>
    <t xml:space="preserve">Design &amp; implement Quick RSVP (public RSVP link, no email required)</t>
  </si>
  <si>
    <t xml:space="preserve">Test RSVP UI - verify buttons actually change status</t>
  </si>
  <si>
    <t xml:space="preserve">Fix Sidekiq connection_pool issue</t>
  </si>
  <si>
    <t xml:space="preserve">Rename project ev1 → evm1 and move to C:\evm1</t>
  </si>
  <si>
    <t xml:space="preserve">Test bulk invite functionality</t>
  </si>
  <si>
    <t xml:space="preserve">Test check-in system</t>
  </si>
  <si>
    <t xml:space="preserve">Verify email notifications work after Sidekiq fix</t>
  </si>
  <si>
    <t xml:space="preserve">Complete UAT on all "Test" state features</t>
  </si>
  <si>
    <t xml:space="preserve">Set up FactoryBot for volume testing</t>
  </si>
  <si>
    <t xml:space="preserve">Design contact/identity enhancement (multiple emails, phones)</t>
  </si>
  <si>
    <t xml:space="preserve">Decide on event type specialization (Conference vs Convention)</t>
  </si>
  <si>
    <t xml:space="preserve">Explore rebranding options (Confab vs other names)</t>
  </si>
  <si>
    <t xml:space="preserve">Create training materials for 3-10 helpers</t>
  </si>
  <si>
    <t xml:space="preserve">Document resource matching concept for future discussion</t>
  </si>
  <si>
    <t xml:space="preserve">KEY BLOCKERS FOR BOAT ANNIVERSARY PARTY</t>
  </si>
  <si>
    <t xml:space="preserve">1. Quick RSVP feature (no email required) - people are on Facebook, not in email list</t>
  </si>
  <si>
    <t xml:space="preserve">2. Email notification working (fix Sidekiq connection_pool)</t>
  </si>
  <si>
    <t xml:space="preserve">3. Testing RSVP button functionality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</si>
</sst>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FF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4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5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2"/>
      <c r="H2" s="2"/>
    </row>
    <row r="3" customFormat="false" ht="15" hidden="false" customHeight="false" outlineLevel="0" collapsed="false">
      <c r="A3" s="2" t="s">
        <v>8</v>
      </c>
      <c r="B3" s="2" t="s">
        <v>14</v>
      </c>
      <c r="C3" s="2" t="s">
        <v>15</v>
      </c>
      <c r="D3" s="3" t="s">
        <v>11</v>
      </c>
      <c r="E3" s="3" t="s">
        <v>12</v>
      </c>
      <c r="F3" s="2" t="s">
        <v>16</v>
      </c>
      <c r="G3" s="2"/>
      <c r="H3" s="2"/>
    </row>
    <row r="4" customFormat="false" ht="15" hidden="false" customHeight="false" outlineLevel="0" collapsed="false">
      <c r="A4" s="2" t="s">
        <v>8</v>
      </c>
      <c r="B4" s="2" t="s">
        <v>17</v>
      </c>
      <c r="C4" s="2" t="s">
        <v>18</v>
      </c>
      <c r="D4" s="3" t="s">
        <v>11</v>
      </c>
      <c r="E4" s="3" t="s">
        <v>12</v>
      </c>
      <c r="F4" s="2" t="s">
        <v>19</v>
      </c>
      <c r="G4" s="2"/>
      <c r="H4" s="2"/>
    </row>
    <row r="5" customFormat="false" ht="15" hidden="false" customHeight="false" outlineLevel="0" collapsed="false">
      <c r="A5" s="2" t="s">
        <v>8</v>
      </c>
      <c r="B5" s="2" t="s">
        <v>20</v>
      </c>
      <c r="C5" s="2" t="s">
        <v>21</v>
      </c>
      <c r="D5" s="3" t="s">
        <v>11</v>
      </c>
      <c r="E5" s="3" t="s">
        <v>22</v>
      </c>
      <c r="F5" s="2" t="s">
        <v>23</v>
      </c>
      <c r="G5" s="2"/>
      <c r="H5" s="2"/>
    </row>
    <row r="6" customFormat="false" ht="15" hidden="false" customHeight="false" outlineLevel="0" collapsed="false">
      <c r="A6" s="2" t="s">
        <v>8</v>
      </c>
      <c r="B6" s="2" t="s">
        <v>24</v>
      </c>
      <c r="C6" s="2" t="s">
        <v>25</v>
      </c>
      <c r="D6" s="3" t="s">
        <v>26</v>
      </c>
      <c r="E6" s="3" t="s">
        <v>22</v>
      </c>
      <c r="F6" s="2" t="s">
        <v>27</v>
      </c>
      <c r="G6" s="2"/>
      <c r="H6" s="2"/>
    </row>
    <row r="7" customFormat="false" ht="15" hidden="false" customHeight="false" outlineLevel="0" collapsed="false">
      <c r="A7" s="2" t="s">
        <v>8</v>
      </c>
      <c r="B7" s="2" t="s">
        <v>28</v>
      </c>
      <c r="C7" s="2" t="s">
        <v>29</v>
      </c>
      <c r="D7" s="3" t="s">
        <v>30</v>
      </c>
      <c r="E7" s="3" t="s">
        <v>31</v>
      </c>
      <c r="F7" s="2" t="s">
        <v>32</v>
      </c>
      <c r="G7" s="2"/>
      <c r="H7" s="2"/>
    </row>
    <row r="8" customFormat="false" ht="15" hidden="false" customHeight="false" outlineLevel="0" collapsed="false">
      <c r="A8" s="2" t="s">
        <v>33</v>
      </c>
      <c r="B8" s="2" t="s">
        <v>34</v>
      </c>
      <c r="C8" s="2" t="s">
        <v>35</v>
      </c>
      <c r="D8" s="3" t="s">
        <v>11</v>
      </c>
      <c r="E8" s="3" t="s">
        <v>12</v>
      </c>
      <c r="F8" s="2" t="s">
        <v>36</v>
      </c>
      <c r="G8" s="2"/>
      <c r="H8" s="2"/>
    </row>
    <row r="9" customFormat="false" ht="15" hidden="false" customHeight="false" outlineLevel="0" collapsed="false">
      <c r="A9" s="2" t="s">
        <v>33</v>
      </c>
      <c r="B9" s="2" t="s">
        <v>37</v>
      </c>
      <c r="C9" s="2" t="s">
        <v>38</v>
      </c>
      <c r="D9" s="3" t="s">
        <v>26</v>
      </c>
      <c r="E9" s="3" t="s">
        <v>12</v>
      </c>
      <c r="F9" s="2" t="s">
        <v>39</v>
      </c>
      <c r="G9" s="2"/>
      <c r="H9" s="2"/>
    </row>
    <row r="10" customFormat="false" ht="15" hidden="false" customHeight="false" outlineLevel="0" collapsed="false">
      <c r="A10" s="2" t="s">
        <v>33</v>
      </c>
      <c r="B10" s="2" t="s">
        <v>40</v>
      </c>
      <c r="C10" s="2" t="s">
        <v>41</v>
      </c>
      <c r="D10" s="3" t="s">
        <v>26</v>
      </c>
      <c r="E10" s="3" t="s">
        <v>22</v>
      </c>
      <c r="F10" s="2" t="s">
        <v>39</v>
      </c>
      <c r="G10" s="2"/>
      <c r="H10" s="2"/>
    </row>
    <row r="11" customFormat="false" ht="15" hidden="false" customHeight="false" outlineLevel="0" collapsed="false">
      <c r="A11" s="2" t="s">
        <v>33</v>
      </c>
      <c r="B11" s="2" t="s">
        <v>42</v>
      </c>
      <c r="C11" s="2" t="s">
        <v>43</v>
      </c>
      <c r="D11" s="3" t="s">
        <v>11</v>
      </c>
      <c r="E11" s="3" t="s">
        <v>12</v>
      </c>
      <c r="F11" s="2" t="s">
        <v>44</v>
      </c>
      <c r="G11" s="2"/>
      <c r="H11" s="2"/>
    </row>
    <row r="12" customFormat="false" ht="15" hidden="false" customHeight="false" outlineLevel="0" collapsed="false">
      <c r="A12" s="2" t="s">
        <v>33</v>
      </c>
      <c r="B12" s="2" t="s">
        <v>45</v>
      </c>
      <c r="C12" s="2" t="s">
        <v>46</v>
      </c>
      <c r="D12" s="3" t="s">
        <v>11</v>
      </c>
      <c r="E12" s="3" t="s">
        <v>22</v>
      </c>
      <c r="F12" s="2" t="s">
        <v>47</v>
      </c>
      <c r="G12" s="2"/>
      <c r="H12" s="2"/>
    </row>
    <row r="13" customFormat="false" ht="15" hidden="false" customHeight="false" outlineLevel="0" collapsed="false">
      <c r="A13" s="2" t="s">
        <v>33</v>
      </c>
      <c r="B13" s="2" t="s">
        <v>48</v>
      </c>
      <c r="C13" s="2" t="s">
        <v>49</v>
      </c>
      <c r="D13" s="3" t="s">
        <v>11</v>
      </c>
      <c r="E13" s="3" t="s">
        <v>22</v>
      </c>
      <c r="F13" s="2" t="s">
        <v>47</v>
      </c>
      <c r="G13" s="2"/>
      <c r="H13" s="2"/>
    </row>
    <row r="14" customFormat="false" ht="15" hidden="false" customHeight="false" outlineLevel="0" collapsed="false">
      <c r="A14" s="2" t="s">
        <v>33</v>
      </c>
      <c r="B14" s="2" t="s">
        <v>50</v>
      </c>
      <c r="C14" s="2" t="s">
        <v>51</v>
      </c>
      <c r="D14" s="3" t="s">
        <v>11</v>
      </c>
      <c r="E14" s="3" t="s">
        <v>22</v>
      </c>
      <c r="F14" s="2" t="s">
        <v>52</v>
      </c>
      <c r="G14" s="2"/>
      <c r="H14" s="2"/>
    </row>
    <row r="15" customFormat="false" ht="15" hidden="false" customHeight="false" outlineLevel="0" collapsed="false">
      <c r="A15" s="2" t="s">
        <v>33</v>
      </c>
      <c r="B15" s="2" t="s">
        <v>53</v>
      </c>
      <c r="C15" s="2" t="s">
        <v>54</v>
      </c>
      <c r="D15" s="3" t="s">
        <v>30</v>
      </c>
      <c r="E15" s="3" t="s">
        <v>55</v>
      </c>
      <c r="F15" s="2" t="s">
        <v>56</v>
      </c>
      <c r="G15" s="2"/>
      <c r="H15" s="2"/>
    </row>
    <row r="16" customFormat="false" ht="15" hidden="false" customHeight="false" outlineLevel="0" collapsed="false">
      <c r="A16" s="2" t="s">
        <v>33</v>
      </c>
      <c r="B16" s="2" t="s">
        <v>57</v>
      </c>
      <c r="C16" s="2" t="s">
        <v>58</v>
      </c>
      <c r="D16" s="3" t="s">
        <v>30</v>
      </c>
      <c r="E16" s="3" t="s">
        <v>55</v>
      </c>
      <c r="F16" s="2" t="s">
        <v>59</v>
      </c>
      <c r="G16" s="2"/>
      <c r="H16" s="2"/>
    </row>
    <row r="17" customFormat="false" ht="15" hidden="false" customHeight="false" outlineLevel="0" collapsed="false">
      <c r="A17" s="2" t="s">
        <v>33</v>
      </c>
      <c r="B17" s="2" t="s">
        <v>60</v>
      </c>
      <c r="C17" s="2" t="s">
        <v>61</v>
      </c>
      <c r="D17" s="3" t="s">
        <v>30</v>
      </c>
      <c r="E17" s="3" t="s">
        <v>31</v>
      </c>
      <c r="F17" s="2" t="s">
        <v>62</v>
      </c>
      <c r="G17" s="2"/>
      <c r="H17" s="2"/>
    </row>
    <row r="18" customFormat="false" ht="15" hidden="false" customHeight="false" outlineLevel="0" collapsed="false">
      <c r="A18" s="2" t="s">
        <v>63</v>
      </c>
      <c r="B18" s="2" t="s">
        <v>64</v>
      </c>
      <c r="C18" s="2" t="s">
        <v>65</v>
      </c>
      <c r="D18" s="3" t="s">
        <v>11</v>
      </c>
      <c r="E18" s="3" t="s">
        <v>12</v>
      </c>
      <c r="F18" s="2" t="s">
        <v>66</v>
      </c>
      <c r="G18" s="2"/>
      <c r="H18" s="2"/>
    </row>
    <row r="19" customFormat="false" ht="15" hidden="false" customHeight="false" outlineLevel="0" collapsed="false">
      <c r="A19" s="2" t="s">
        <v>63</v>
      </c>
      <c r="B19" s="2" t="s">
        <v>67</v>
      </c>
      <c r="C19" s="2" t="s">
        <v>68</v>
      </c>
      <c r="D19" s="3" t="s">
        <v>11</v>
      </c>
      <c r="E19" s="3" t="s">
        <v>12</v>
      </c>
      <c r="F19" s="2" t="s">
        <v>69</v>
      </c>
      <c r="G19" s="2"/>
      <c r="H19" s="2"/>
    </row>
    <row r="20" customFormat="false" ht="15" hidden="false" customHeight="false" outlineLevel="0" collapsed="false">
      <c r="A20" s="2" t="s">
        <v>63</v>
      </c>
      <c r="B20" s="2" t="s">
        <v>70</v>
      </c>
      <c r="C20" s="2" t="s">
        <v>71</v>
      </c>
      <c r="D20" s="3" t="s">
        <v>26</v>
      </c>
      <c r="E20" s="3" t="s">
        <v>12</v>
      </c>
      <c r="F20" s="2" t="s">
        <v>72</v>
      </c>
      <c r="G20" s="2"/>
      <c r="H20" s="2"/>
    </row>
    <row r="21" customFormat="false" ht="15" hidden="false" customHeight="false" outlineLevel="0" collapsed="false">
      <c r="A21" s="2" t="s">
        <v>63</v>
      </c>
      <c r="B21" s="2" t="s">
        <v>73</v>
      </c>
      <c r="C21" s="2" t="s">
        <v>74</v>
      </c>
      <c r="D21" s="3" t="s">
        <v>11</v>
      </c>
      <c r="E21" s="3" t="s">
        <v>12</v>
      </c>
      <c r="F21" s="2" t="s">
        <v>75</v>
      </c>
      <c r="G21" s="2"/>
      <c r="H21" s="2"/>
    </row>
    <row r="22" customFormat="false" ht="23.85" hidden="false" customHeight="false" outlineLevel="0" collapsed="false">
      <c r="A22" s="2" t="s">
        <v>63</v>
      </c>
      <c r="B22" s="2" t="s">
        <v>76</v>
      </c>
      <c r="C22" s="2" t="s">
        <v>77</v>
      </c>
      <c r="D22" s="3" t="s">
        <v>30</v>
      </c>
      <c r="E22" s="3" t="s">
        <v>12</v>
      </c>
      <c r="F22" s="2" t="s">
        <v>78</v>
      </c>
      <c r="G22" s="2"/>
      <c r="H22" s="2"/>
    </row>
    <row r="23" customFormat="false" ht="15" hidden="false" customHeight="false" outlineLevel="0" collapsed="false">
      <c r="A23" s="2" t="s">
        <v>63</v>
      </c>
      <c r="B23" s="2" t="s">
        <v>79</v>
      </c>
      <c r="C23" s="2" t="s">
        <v>80</v>
      </c>
      <c r="D23" s="3" t="s">
        <v>81</v>
      </c>
      <c r="E23" s="3" t="s">
        <v>55</v>
      </c>
      <c r="F23" s="2" t="s">
        <v>82</v>
      </c>
      <c r="G23" s="2"/>
      <c r="H23" s="2"/>
    </row>
    <row r="24" customFormat="false" ht="15" hidden="false" customHeight="false" outlineLevel="0" collapsed="false">
      <c r="A24" s="2" t="s">
        <v>63</v>
      </c>
      <c r="B24" s="2" t="s">
        <v>83</v>
      </c>
      <c r="C24" s="2" t="s">
        <v>84</v>
      </c>
      <c r="D24" s="3" t="s">
        <v>30</v>
      </c>
      <c r="E24" s="3" t="s">
        <v>55</v>
      </c>
      <c r="F24" s="2" t="s">
        <v>59</v>
      </c>
      <c r="G24" s="2"/>
      <c r="H24" s="2"/>
    </row>
    <row r="25" customFormat="false" ht="15" hidden="false" customHeight="false" outlineLevel="0" collapsed="false">
      <c r="A25" s="2" t="s">
        <v>63</v>
      </c>
      <c r="B25" s="2" t="s">
        <v>85</v>
      </c>
      <c r="C25" s="2" t="s">
        <v>86</v>
      </c>
      <c r="D25" s="3" t="s">
        <v>26</v>
      </c>
      <c r="E25" s="3" t="s">
        <v>22</v>
      </c>
      <c r="F25" s="2" t="s">
        <v>87</v>
      </c>
      <c r="G25" s="2"/>
      <c r="H25" s="2"/>
    </row>
    <row r="26" customFormat="false" ht="15" hidden="false" customHeight="false" outlineLevel="0" collapsed="false">
      <c r="A26" s="2" t="s">
        <v>63</v>
      </c>
      <c r="B26" s="2" t="s">
        <v>88</v>
      </c>
      <c r="C26" s="2" t="s">
        <v>89</v>
      </c>
      <c r="D26" s="3" t="s">
        <v>30</v>
      </c>
      <c r="E26" s="3" t="s">
        <v>55</v>
      </c>
      <c r="F26" s="2" t="s">
        <v>90</v>
      </c>
      <c r="G26" s="2"/>
      <c r="H26" s="2"/>
    </row>
    <row r="27" customFormat="false" ht="15" hidden="false" customHeight="false" outlineLevel="0" collapsed="false">
      <c r="A27" s="2" t="s">
        <v>91</v>
      </c>
      <c r="B27" s="2" t="s">
        <v>92</v>
      </c>
      <c r="C27" s="2" t="s">
        <v>93</v>
      </c>
      <c r="D27" s="3" t="s">
        <v>26</v>
      </c>
      <c r="E27" s="3" t="s">
        <v>22</v>
      </c>
      <c r="F27" s="2" t="s">
        <v>94</v>
      </c>
      <c r="G27" s="2"/>
      <c r="H27" s="2"/>
    </row>
    <row r="28" customFormat="false" ht="15" hidden="false" customHeight="false" outlineLevel="0" collapsed="false">
      <c r="A28" s="2" t="s">
        <v>91</v>
      </c>
      <c r="B28" s="2" t="s">
        <v>95</v>
      </c>
      <c r="C28" s="2" t="s">
        <v>96</v>
      </c>
      <c r="D28" s="3" t="s">
        <v>26</v>
      </c>
      <c r="E28" s="3" t="s">
        <v>22</v>
      </c>
      <c r="F28" s="2" t="s">
        <v>97</v>
      </c>
      <c r="G28" s="2"/>
      <c r="H28" s="2"/>
    </row>
    <row r="29" customFormat="false" ht="15" hidden="false" customHeight="false" outlineLevel="0" collapsed="false">
      <c r="A29" s="2" t="s">
        <v>91</v>
      </c>
      <c r="B29" s="2" t="s">
        <v>98</v>
      </c>
      <c r="C29" s="2" t="s">
        <v>99</v>
      </c>
      <c r="D29" s="3" t="s">
        <v>26</v>
      </c>
      <c r="E29" s="3" t="s">
        <v>55</v>
      </c>
      <c r="F29" s="2" t="s">
        <v>94</v>
      </c>
      <c r="G29" s="2"/>
      <c r="H29" s="2"/>
    </row>
    <row r="30" customFormat="false" ht="15" hidden="false" customHeight="false" outlineLevel="0" collapsed="false">
      <c r="A30" s="2" t="s">
        <v>91</v>
      </c>
      <c r="B30" s="2" t="s">
        <v>100</v>
      </c>
      <c r="C30" s="2" t="s">
        <v>101</v>
      </c>
      <c r="D30" s="3" t="s">
        <v>11</v>
      </c>
      <c r="E30" s="3" t="s">
        <v>22</v>
      </c>
      <c r="F30" s="2" t="s">
        <v>36</v>
      </c>
      <c r="G30" s="2"/>
      <c r="H30" s="2"/>
    </row>
    <row r="31" customFormat="false" ht="15" hidden="false" customHeight="false" outlineLevel="0" collapsed="false">
      <c r="A31" s="2" t="s">
        <v>91</v>
      </c>
      <c r="B31" s="2" t="s">
        <v>102</v>
      </c>
      <c r="C31" s="2" t="s">
        <v>103</v>
      </c>
      <c r="D31" s="3" t="s">
        <v>26</v>
      </c>
      <c r="E31" s="3" t="s">
        <v>22</v>
      </c>
      <c r="F31" s="2" t="s">
        <v>87</v>
      </c>
      <c r="G31" s="2"/>
      <c r="H31" s="2"/>
    </row>
    <row r="32" customFormat="false" ht="15" hidden="false" customHeight="false" outlineLevel="0" collapsed="false">
      <c r="A32" s="2" t="s">
        <v>91</v>
      </c>
      <c r="B32" s="2" t="s">
        <v>104</v>
      </c>
      <c r="C32" s="2" t="s">
        <v>105</v>
      </c>
      <c r="D32" s="3" t="s">
        <v>30</v>
      </c>
      <c r="E32" s="3" t="s">
        <v>55</v>
      </c>
      <c r="F32" s="2" t="s">
        <v>106</v>
      </c>
      <c r="G32" s="2"/>
      <c r="H32" s="2"/>
    </row>
    <row r="33" customFormat="false" ht="15" hidden="false" customHeight="false" outlineLevel="0" collapsed="false">
      <c r="A33" s="2" t="s">
        <v>107</v>
      </c>
      <c r="B33" s="2" t="s">
        <v>108</v>
      </c>
      <c r="C33" s="2" t="s">
        <v>109</v>
      </c>
      <c r="D33" s="3" t="s">
        <v>11</v>
      </c>
      <c r="E33" s="3" t="s">
        <v>22</v>
      </c>
      <c r="F33" s="2" t="s">
        <v>36</v>
      </c>
      <c r="G33" s="2"/>
      <c r="H33" s="2"/>
    </row>
    <row r="34" customFormat="false" ht="15" hidden="false" customHeight="false" outlineLevel="0" collapsed="false">
      <c r="A34" s="2" t="s">
        <v>107</v>
      </c>
      <c r="B34" s="2" t="s">
        <v>110</v>
      </c>
      <c r="C34" s="2" t="s">
        <v>111</v>
      </c>
      <c r="D34" s="3" t="s">
        <v>26</v>
      </c>
      <c r="E34" s="3" t="s">
        <v>22</v>
      </c>
      <c r="F34" s="2" t="s">
        <v>39</v>
      </c>
      <c r="G34" s="2"/>
      <c r="H34" s="2"/>
    </row>
    <row r="35" customFormat="false" ht="15" hidden="false" customHeight="false" outlineLevel="0" collapsed="false">
      <c r="A35" s="2" t="s">
        <v>107</v>
      </c>
      <c r="B35" s="2" t="s">
        <v>112</v>
      </c>
      <c r="C35" s="2" t="s">
        <v>113</v>
      </c>
      <c r="D35" s="3" t="s">
        <v>11</v>
      </c>
      <c r="E35" s="3" t="s">
        <v>22</v>
      </c>
      <c r="F35" s="2" t="s">
        <v>114</v>
      </c>
      <c r="G35" s="2"/>
      <c r="H35" s="2"/>
    </row>
    <row r="36" customFormat="false" ht="15" hidden="false" customHeight="false" outlineLevel="0" collapsed="false">
      <c r="A36" s="2" t="s">
        <v>107</v>
      </c>
      <c r="B36" s="2" t="s">
        <v>115</v>
      </c>
      <c r="C36" s="2" t="s">
        <v>116</v>
      </c>
      <c r="D36" s="3" t="s">
        <v>11</v>
      </c>
      <c r="E36" s="3" t="s">
        <v>22</v>
      </c>
      <c r="F36" s="2" t="s">
        <v>117</v>
      </c>
      <c r="G36" s="2"/>
      <c r="H36" s="2"/>
    </row>
    <row r="37" customFormat="false" ht="15" hidden="false" customHeight="false" outlineLevel="0" collapsed="false">
      <c r="A37" s="2" t="s">
        <v>107</v>
      </c>
      <c r="B37" s="2" t="s">
        <v>118</v>
      </c>
      <c r="C37" s="2" t="s">
        <v>119</v>
      </c>
      <c r="D37" s="3" t="s">
        <v>30</v>
      </c>
      <c r="E37" s="3" t="s">
        <v>31</v>
      </c>
      <c r="F37" s="2" t="s">
        <v>120</v>
      </c>
      <c r="G37" s="2"/>
      <c r="H37" s="2"/>
    </row>
    <row r="38" customFormat="false" ht="15" hidden="false" customHeight="false" outlineLevel="0" collapsed="false">
      <c r="A38" s="2" t="s">
        <v>107</v>
      </c>
      <c r="B38" s="2" t="s">
        <v>121</v>
      </c>
      <c r="C38" s="2" t="s">
        <v>122</v>
      </c>
      <c r="D38" s="3" t="s">
        <v>30</v>
      </c>
      <c r="E38" s="3" t="s">
        <v>31</v>
      </c>
      <c r="F38" s="2" t="s">
        <v>62</v>
      </c>
      <c r="G38" s="2"/>
      <c r="H38" s="2"/>
    </row>
    <row r="39" customFormat="false" ht="15" hidden="false" customHeight="false" outlineLevel="0" collapsed="false">
      <c r="A39" s="2" t="s">
        <v>123</v>
      </c>
      <c r="B39" s="2" t="s">
        <v>124</v>
      </c>
      <c r="C39" s="2" t="s">
        <v>125</v>
      </c>
      <c r="D39" s="3" t="s">
        <v>126</v>
      </c>
      <c r="E39" s="3" t="s">
        <v>22</v>
      </c>
      <c r="F39" s="2" t="s">
        <v>127</v>
      </c>
      <c r="G39" s="2"/>
      <c r="H39" s="2"/>
    </row>
    <row r="40" customFormat="false" ht="15" hidden="false" customHeight="false" outlineLevel="0" collapsed="false">
      <c r="A40" s="2" t="s">
        <v>123</v>
      </c>
      <c r="B40" s="2" t="s">
        <v>128</v>
      </c>
      <c r="C40" s="2" t="s">
        <v>129</v>
      </c>
      <c r="D40" s="3" t="s">
        <v>126</v>
      </c>
      <c r="E40" s="3" t="s">
        <v>22</v>
      </c>
      <c r="F40" s="2" t="s">
        <v>130</v>
      </c>
      <c r="G40" s="2"/>
      <c r="H40" s="2"/>
    </row>
    <row r="41" customFormat="false" ht="15" hidden="false" customHeight="false" outlineLevel="0" collapsed="false">
      <c r="A41" s="2" t="s">
        <v>123</v>
      </c>
      <c r="B41" s="2" t="s">
        <v>131</v>
      </c>
      <c r="C41" s="2" t="s">
        <v>132</v>
      </c>
      <c r="D41" s="3" t="s">
        <v>81</v>
      </c>
      <c r="E41" s="3" t="s">
        <v>55</v>
      </c>
      <c r="F41" s="2" t="s">
        <v>56</v>
      </c>
      <c r="G41" s="2"/>
      <c r="H41" s="2"/>
    </row>
    <row r="42" customFormat="false" ht="15" hidden="false" customHeight="false" outlineLevel="0" collapsed="false">
      <c r="A42" s="2" t="s">
        <v>123</v>
      </c>
      <c r="B42" s="2" t="s">
        <v>133</v>
      </c>
      <c r="C42" s="2" t="s">
        <v>134</v>
      </c>
      <c r="D42" s="3" t="s">
        <v>30</v>
      </c>
      <c r="E42" s="3" t="s">
        <v>55</v>
      </c>
      <c r="F42" s="2" t="s">
        <v>135</v>
      </c>
      <c r="G42" s="2"/>
      <c r="H42" s="2"/>
    </row>
    <row r="43" customFormat="false" ht="15" hidden="false" customHeight="false" outlineLevel="0" collapsed="false">
      <c r="A43" s="2" t="s">
        <v>123</v>
      </c>
      <c r="B43" s="2" t="s">
        <v>136</v>
      </c>
      <c r="C43" s="2" t="s">
        <v>137</v>
      </c>
      <c r="D43" s="3" t="s">
        <v>30</v>
      </c>
      <c r="E43" s="3" t="s">
        <v>31</v>
      </c>
      <c r="F43" s="2" t="s">
        <v>32</v>
      </c>
      <c r="G43" s="2"/>
      <c r="H43" s="2"/>
    </row>
    <row r="44" customFormat="false" ht="15" hidden="false" customHeight="false" outlineLevel="0" collapsed="false">
      <c r="A44" s="2" t="s">
        <v>123</v>
      </c>
      <c r="B44" s="2" t="s">
        <v>138</v>
      </c>
      <c r="C44" s="2" t="s">
        <v>139</v>
      </c>
      <c r="D44" s="3" t="s">
        <v>30</v>
      </c>
      <c r="E44" s="3" t="s">
        <v>55</v>
      </c>
      <c r="F44" s="2" t="s">
        <v>140</v>
      </c>
      <c r="G44" s="2"/>
      <c r="H44" s="2"/>
    </row>
    <row r="45" customFormat="false" ht="15" hidden="false" customHeight="false" outlineLevel="0" collapsed="false">
      <c r="A45" s="2" t="s">
        <v>123</v>
      </c>
      <c r="B45" s="2" t="s">
        <v>141</v>
      </c>
      <c r="C45" s="2" t="s">
        <v>142</v>
      </c>
      <c r="D45" s="3" t="s">
        <v>30</v>
      </c>
      <c r="E45" s="3" t="s">
        <v>31</v>
      </c>
      <c r="F45" s="2" t="s">
        <v>140</v>
      </c>
      <c r="G45" s="2"/>
      <c r="H45" s="2"/>
    </row>
    <row r="46" customFormat="false" ht="15" hidden="false" customHeight="false" outlineLevel="0" collapsed="false">
      <c r="A46" s="2" t="s">
        <v>143</v>
      </c>
      <c r="B46" s="2" t="s">
        <v>144</v>
      </c>
      <c r="C46" s="2" t="s">
        <v>145</v>
      </c>
      <c r="D46" s="3" t="s">
        <v>11</v>
      </c>
      <c r="E46" s="3" t="s">
        <v>12</v>
      </c>
      <c r="F46" s="2" t="s">
        <v>146</v>
      </c>
      <c r="G46" s="2"/>
      <c r="H46" s="2"/>
    </row>
    <row r="47" customFormat="false" ht="15" hidden="false" customHeight="false" outlineLevel="0" collapsed="false">
      <c r="A47" s="2" t="s">
        <v>143</v>
      </c>
      <c r="B47" s="2" t="s">
        <v>147</v>
      </c>
      <c r="C47" s="2" t="s">
        <v>148</v>
      </c>
      <c r="D47" s="3" t="s">
        <v>11</v>
      </c>
      <c r="E47" s="3" t="s">
        <v>12</v>
      </c>
      <c r="F47" s="2" t="s">
        <v>149</v>
      </c>
      <c r="G47" s="2"/>
      <c r="H47" s="2"/>
    </row>
    <row r="48" customFormat="false" ht="15" hidden="false" customHeight="false" outlineLevel="0" collapsed="false">
      <c r="A48" s="2" t="s">
        <v>143</v>
      </c>
      <c r="B48" s="2" t="s">
        <v>150</v>
      </c>
      <c r="C48" s="2" t="s">
        <v>151</v>
      </c>
      <c r="D48" s="3" t="s">
        <v>26</v>
      </c>
      <c r="E48" s="3" t="s">
        <v>22</v>
      </c>
      <c r="F48" s="2" t="s">
        <v>39</v>
      </c>
      <c r="G48" s="2"/>
      <c r="H48" s="2"/>
    </row>
    <row r="49" customFormat="false" ht="15" hidden="false" customHeight="false" outlineLevel="0" collapsed="false">
      <c r="A49" s="2" t="s">
        <v>143</v>
      </c>
      <c r="B49" s="2" t="s">
        <v>33</v>
      </c>
      <c r="C49" s="2" t="s">
        <v>152</v>
      </c>
      <c r="D49" s="3" t="s">
        <v>11</v>
      </c>
      <c r="E49" s="3" t="s">
        <v>12</v>
      </c>
      <c r="F49" s="2" t="s">
        <v>36</v>
      </c>
      <c r="G49" s="2"/>
      <c r="H49" s="2"/>
    </row>
    <row r="50" customFormat="false" ht="15" hidden="false" customHeight="false" outlineLevel="0" collapsed="false">
      <c r="A50" s="2" t="s">
        <v>143</v>
      </c>
      <c r="B50" s="2" t="s">
        <v>153</v>
      </c>
      <c r="C50" s="2" t="s">
        <v>154</v>
      </c>
      <c r="D50" s="3" t="s">
        <v>11</v>
      </c>
      <c r="E50" s="3" t="s">
        <v>22</v>
      </c>
      <c r="F50" s="2" t="s">
        <v>155</v>
      </c>
      <c r="G50" s="2"/>
      <c r="H50" s="2"/>
    </row>
    <row r="51" customFormat="false" ht="15" hidden="false" customHeight="false" outlineLevel="0" collapsed="false">
      <c r="A51" s="2" t="s">
        <v>143</v>
      </c>
      <c r="B51" s="2" t="s">
        <v>156</v>
      </c>
      <c r="C51" s="2" t="s">
        <v>157</v>
      </c>
      <c r="D51" s="3" t="s">
        <v>30</v>
      </c>
      <c r="E51" s="3" t="s">
        <v>55</v>
      </c>
      <c r="F51" s="2" t="s">
        <v>62</v>
      </c>
      <c r="G51" s="2"/>
      <c r="H51" s="2"/>
    </row>
    <row r="52" customFormat="false" ht="15" hidden="false" customHeight="false" outlineLevel="0" collapsed="false">
      <c r="A52" s="2" t="s">
        <v>143</v>
      </c>
      <c r="B52" s="2" t="s">
        <v>158</v>
      </c>
      <c r="C52" s="2" t="s">
        <v>159</v>
      </c>
      <c r="D52" s="3" t="s">
        <v>30</v>
      </c>
      <c r="E52" s="3" t="s">
        <v>31</v>
      </c>
      <c r="F52" s="2" t="s">
        <v>62</v>
      </c>
      <c r="G52" s="2"/>
      <c r="H52" s="2"/>
    </row>
    <row r="53" customFormat="false" ht="15" hidden="false" customHeight="false" outlineLevel="0" collapsed="false">
      <c r="A53" s="2" t="s">
        <v>160</v>
      </c>
      <c r="B53" s="2" t="s">
        <v>161</v>
      </c>
      <c r="C53" s="2" t="s">
        <v>162</v>
      </c>
      <c r="D53" s="3" t="s">
        <v>11</v>
      </c>
      <c r="E53" s="3" t="s">
        <v>12</v>
      </c>
      <c r="F53" s="2" t="s">
        <v>36</v>
      </c>
      <c r="G53" s="2"/>
      <c r="H53" s="2"/>
    </row>
    <row r="54" customFormat="false" ht="15" hidden="false" customHeight="false" outlineLevel="0" collapsed="false">
      <c r="A54" s="2" t="s">
        <v>160</v>
      </c>
      <c r="B54" s="2" t="s">
        <v>163</v>
      </c>
      <c r="C54" s="2" t="s">
        <v>164</v>
      </c>
      <c r="D54" s="3" t="s">
        <v>81</v>
      </c>
      <c r="E54" s="3" t="s">
        <v>12</v>
      </c>
      <c r="F54" s="2" t="s">
        <v>165</v>
      </c>
      <c r="G54" s="2"/>
      <c r="H54" s="2"/>
    </row>
    <row r="55" customFormat="false" ht="15" hidden="false" customHeight="false" outlineLevel="0" collapsed="false">
      <c r="A55" s="2" t="s">
        <v>160</v>
      </c>
      <c r="B55" s="2" t="s">
        <v>166</v>
      </c>
      <c r="C55" s="2" t="s">
        <v>167</v>
      </c>
      <c r="D55" s="3" t="s">
        <v>26</v>
      </c>
      <c r="E55" s="3" t="s">
        <v>22</v>
      </c>
      <c r="F55" s="2" t="s">
        <v>168</v>
      </c>
      <c r="G55" s="2"/>
      <c r="H55" s="2"/>
    </row>
    <row r="56" customFormat="false" ht="15" hidden="false" customHeight="false" outlineLevel="0" collapsed="false">
      <c r="A56" s="2" t="s">
        <v>160</v>
      </c>
      <c r="B56" s="2" t="s">
        <v>169</v>
      </c>
      <c r="C56" s="2" t="s">
        <v>170</v>
      </c>
      <c r="D56" s="3" t="s">
        <v>11</v>
      </c>
      <c r="E56" s="3" t="s">
        <v>22</v>
      </c>
      <c r="F56" s="2" t="s">
        <v>171</v>
      </c>
      <c r="G56" s="2"/>
      <c r="H56" s="2"/>
    </row>
    <row r="57" customFormat="false" ht="15" hidden="false" customHeight="false" outlineLevel="0" collapsed="false">
      <c r="A57" s="2" t="s">
        <v>160</v>
      </c>
      <c r="B57" s="2" t="s">
        <v>172</v>
      </c>
      <c r="C57" s="2" t="s">
        <v>173</v>
      </c>
      <c r="D57" s="3" t="s">
        <v>30</v>
      </c>
      <c r="E57" s="3" t="s">
        <v>55</v>
      </c>
      <c r="F57" s="2" t="s">
        <v>120</v>
      </c>
      <c r="G57" s="2"/>
      <c r="H57" s="2"/>
    </row>
    <row r="58" customFormat="false" ht="15" hidden="false" customHeight="false" outlineLevel="0" collapsed="false">
      <c r="A58" s="2" t="s">
        <v>160</v>
      </c>
      <c r="B58" s="2" t="s">
        <v>174</v>
      </c>
      <c r="C58" s="2" t="s">
        <v>175</v>
      </c>
      <c r="D58" s="3" t="s">
        <v>30</v>
      </c>
      <c r="E58" s="3" t="s">
        <v>31</v>
      </c>
      <c r="F58" s="2" t="s">
        <v>62</v>
      </c>
      <c r="G58" s="2"/>
      <c r="H58" s="2"/>
    </row>
    <row r="59" customFormat="false" ht="15" hidden="false" customHeight="false" outlineLevel="0" collapsed="false">
      <c r="A59" s="2" t="s">
        <v>160</v>
      </c>
      <c r="B59" s="2" t="s">
        <v>176</v>
      </c>
      <c r="C59" s="2" t="s">
        <v>177</v>
      </c>
      <c r="D59" s="3" t="s">
        <v>30</v>
      </c>
      <c r="E59" s="3" t="s">
        <v>31</v>
      </c>
      <c r="F59" s="2" t="s">
        <v>62</v>
      </c>
      <c r="G59" s="2"/>
      <c r="H59" s="2"/>
    </row>
    <row r="60" customFormat="false" ht="15" hidden="false" customHeight="false" outlineLevel="0" collapsed="false">
      <c r="A60" s="2" t="s">
        <v>160</v>
      </c>
      <c r="B60" s="2" t="s">
        <v>178</v>
      </c>
      <c r="C60" s="2" t="s">
        <v>179</v>
      </c>
      <c r="D60" s="3" t="s">
        <v>30</v>
      </c>
      <c r="E60" s="3" t="s">
        <v>55</v>
      </c>
      <c r="F60" s="2" t="s">
        <v>180</v>
      </c>
      <c r="G60" s="2"/>
      <c r="H60" s="2"/>
    </row>
    <row r="61" customFormat="false" ht="15" hidden="false" customHeight="false" outlineLevel="0" collapsed="false">
      <c r="A61" s="2" t="s">
        <v>181</v>
      </c>
      <c r="B61" s="2" t="s">
        <v>182</v>
      </c>
      <c r="C61" s="2" t="s">
        <v>183</v>
      </c>
      <c r="D61" s="3" t="s">
        <v>30</v>
      </c>
      <c r="E61" s="3" t="s">
        <v>55</v>
      </c>
      <c r="F61" s="2" t="s">
        <v>184</v>
      </c>
      <c r="G61" s="2"/>
      <c r="H61" s="2"/>
    </row>
    <row r="62" customFormat="false" ht="15" hidden="false" customHeight="false" outlineLevel="0" collapsed="false">
      <c r="A62" s="2" t="s">
        <v>181</v>
      </c>
      <c r="B62" s="2" t="s">
        <v>185</v>
      </c>
      <c r="C62" s="2" t="s">
        <v>186</v>
      </c>
      <c r="D62" s="3" t="s">
        <v>30</v>
      </c>
      <c r="E62" s="3" t="s">
        <v>55</v>
      </c>
      <c r="F62" s="2" t="s">
        <v>187</v>
      </c>
      <c r="G62" s="2"/>
      <c r="H62" s="2"/>
    </row>
    <row r="63" customFormat="false" ht="15" hidden="false" customHeight="false" outlineLevel="0" collapsed="false">
      <c r="A63" s="2" t="s">
        <v>181</v>
      </c>
      <c r="B63" s="2" t="s">
        <v>188</v>
      </c>
      <c r="C63" s="2" t="s">
        <v>189</v>
      </c>
      <c r="D63" s="3" t="s">
        <v>30</v>
      </c>
      <c r="E63" s="3" t="s">
        <v>55</v>
      </c>
      <c r="F63" s="2" t="s">
        <v>190</v>
      </c>
      <c r="G63" s="2"/>
      <c r="H63" s="2"/>
    </row>
    <row r="64" customFormat="false" ht="15" hidden="false" customHeight="false" outlineLevel="0" collapsed="false">
      <c r="A64" s="2" t="s">
        <v>181</v>
      </c>
      <c r="B64" s="2" t="s">
        <v>191</v>
      </c>
      <c r="C64" s="2" t="s">
        <v>192</v>
      </c>
      <c r="D64" s="3" t="s">
        <v>30</v>
      </c>
      <c r="E64" s="3" t="s">
        <v>55</v>
      </c>
      <c r="F64" s="2" t="s">
        <v>193</v>
      </c>
      <c r="G64" s="2"/>
      <c r="H64" s="2"/>
    </row>
    <row r="65" customFormat="false" ht="15" hidden="false" customHeight="false" outlineLevel="0" collapsed="false">
      <c r="A65" s="2" t="s">
        <v>181</v>
      </c>
      <c r="B65" s="2" t="s">
        <v>194</v>
      </c>
      <c r="C65" s="2" t="s">
        <v>195</v>
      </c>
      <c r="D65" s="3" t="s">
        <v>30</v>
      </c>
      <c r="E65" s="3" t="s">
        <v>55</v>
      </c>
      <c r="F65" s="2" t="s">
        <v>196</v>
      </c>
      <c r="G65" s="2"/>
      <c r="H65" s="2"/>
    </row>
    <row r="66" customFormat="false" ht="15" hidden="false" customHeight="false" outlineLevel="0" collapsed="false">
      <c r="A66" s="2" t="s">
        <v>181</v>
      </c>
      <c r="B66" s="2" t="s">
        <v>197</v>
      </c>
      <c r="C66" s="2" t="s">
        <v>198</v>
      </c>
      <c r="D66" s="3" t="s">
        <v>30</v>
      </c>
      <c r="E66" s="3" t="s">
        <v>55</v>
      </c>
      <c r="F66" s="2" t="s">
        <v>199</v>
      </c>
      <c r="G66" s="2"/>
      <c r="H66" s="2"/>
    </row>
    <row r="67" customFormat="false" ht="15" hidden="false" customHeight="false" outlineLevel="0" collapsed="false">
      <c r="A67" s="2" t="s">
        <v>200</v>
      </c>
      <c r="B67" s="2" t="s">
        <v>201</v>
      </c>
      <c r="C67" s="2" t="s">
        <v>202</v>
      </c>
      <c r="D67" s="3" t="s">
        <v>30</v>
      </c>
      <c r="E67" s="3" t="s">
        <v>55</v>
      </c>
      <c r="F67" s="2" t="s">
        <v>203</v>
      </c>
      <c r="G67" s="2"/>
      <c r="H67" s="2"/>
    </row>
    <row r="68" customFormat="false" ht="15" hidden="false" customHeight="false" outlineLevel="0" collapsed="false">
      <c r="A68" s="2" t="s">
        <v>200</v>
      </c>
      <c r="B68" s="2" t="s">
        <v>204</v>
      </c>
      <c r="C68" s="2" t="s">
        <v>205</v>
      </c>
      <c r="D68" s="3" t="s">
        <v>30</v>
      </c>
      <c r="E68" s="3" t="s">
        <v>55</v>
      </c>
      <c r="F68" s="2" t="s">
        <v>206</v>
      </c>
      <c r="G68" s="2"/>
      <c r="H68" s="2"/>
    </row>
    <row r="69" customFormat="false" ht="15" hidden="false" customHeight="false" outlineLevel="0" collapsed="false">
      <c r="A69" s="2" t="s">
        <v>200</v>
      </c>
      <c r="B69" s="2" t="s">
        <v>207</v>
      </c>
      <c r="C69" s="2" t="s">
        <v>208</v>
      </c>
      <c r="D69" s="3" t="s">
        <v>30</v>
      </c>
      <c r="E69" s="3" t="s">
        <v>31</v>
      </c>
      <c r="F69" s="2" t="s">
        <v>209</v>
      </c>
      <c r="G69" s="2"/>
      <c r="H69" s="2"/>
    </row>
    <row r="70" customFormat="false" ht="15" hidden="false" customHeight="false" outlineLevel="0" collapsed="false">
      <c r="A70" s="2" t="s">
        <v>200</v>
      </c>
      <c r="B70" s="2" t="s">
        <v>210</v>
      </c>
      <c r="C70" s="2" t="s">
        <v>211</v>
      </c>
      <c r="D70" s="3" t="s">
        <v>30</v>
      </c>
      <c r="E70" s="3" t="s">
        <v>31</v>
      </c>
      <c r="F70" s="2" t="s">
        <v>212</v>
      </c>
      <c r="G70" s="2"/>
      <c r="H70" s="2"/>
    </row>
    <row r="71" customFormat="false" ht="15" hidden="false" customHeight="false" outlineLevel="0" collapsed="false">
      <c r="A71" s="2" t="s">
        <v>200</v>
      </c>
      <c r="B71" s="2" t="s">
        <v>213</v>
      </c>
      <c r="C71" s="2" t="s">
        <v>214</v>
      </c>
      <c r="D71" s="3" t="s">
        <v>30</v>
      </c>
      <c r="E71" s="3" t="s">
        <v>31</v>
      </c>
      <c r="F71" s="2" t="s">
        <v>215</v>
      </c>
      <c r="G71" s="2"/>
      <c r="H71" s="2"/>
    </row>
    <row r="72" customFormat="false" ht="15" hidden="false" customHeight="false" outlineLevel="0" collapsed="false">
      <c r="A72" s="2" t="s">
        <v>53</v>
      </c>
      <c r="B72" s="2" t="s">
        <v>216</v>
      </c>
      <c r="C72" s="2" t="s">
        <v>217</v>
      </c>
      <c r="D72" s="3" t="s">
        <v>30</v>
      </c>
      <c r="E72" s="3" t="s">
        <v>55</v>
      </c>
      <c r="F72" s="2" t="s">
        <v>218</v>
      </c>
      <c r="G72" s="2"/>
      <c r="H72" s="2"/>
    </row>
    <row r="73" customFormat="false" ht="15" hidden="false" customHeight="false" outlineLevel="0" collapsed="false">
      <c r="A73" s="2" t="s">
        <v>53</v>
      </c>
      <c r="B73" s="2" t="s">
        <v>219</v>
      </c>
      <c r="C73" s="2" t="s">
        <v>220</v>
      </c>
      <c r="D73" s="3" t="s">
        <v>30</v>
      </c>
      <c r="E73" s="3" t="s">
        <v>55</v>
      </c>
      <c r="F73" s="2" t="s">
        <v>221</v>
      </c>
      <c r="G73" s="2"/>
      <c r="H73" s="2"/>
    </row>
    <row r="74" customFormat="false" ht="15" hidden="false" customHeight="false" outlineLevel="0" collapsed="false">
      <c r="A74" s="2" t="s">
        <v>53</v>
      </c>
      <c r="B74" s="2" t="s">
        <v>222</v>
      </c>
      <c r="C74" s="2" t="s">
        <v>223</v>
      </c>
      <c r="D74" s="3" t="s">
        <v>30</v>
      </c>
      <c r="E74" s="3" t="s">
        <v>31</v>
      </c>
      <c r="F74" s="2" t="s">
        <v>224</v>
      </c>
      <c r="G74" s="2"/>
      <c r="H74" s="2"/>
    </row>
    <row r="75" customFormat="false" ht="15" hidden="false" customHeight="false" outlineLevel="0" collapsed="false">
      <c r="A75" s="2" t="s">
        <v>53</v>
      </c>
      <c r="B75" s="2" t="s">
        <v>225</v>
      </c>
      <c r="C75" s="2" t="s">
        <v>226</v>
      </c>
      <c r="D75" s="3" t="s">
        <v>30</v>
      </c>
      <c r="E75" s="3" t="s">
        <v>31</v>
      </c>
      <c r="F75" s="2" t="s">
        <v>227</v>
      </c>
      <c r="G75" s="2"/>
      <c r="H75" s="2"/>
    </row>
    <row r="76" customFormat="false" ht="15" hidden="false" customHeight="false" outlineLevel="0" collapsed="false">
      <c r="A76" s="2" t="s">
        <v>53</v>
      </c>
      <c r="B76" s="2" t="s">
        <v>228</v>
      </c>
      <c r="C76" s="2" t="s">
        <v>229</v>
      </c>
      <c r="D76" s="3" t="s">
        <v>30</v>
      </c>
      <c r="E76" s="3" t="s">
        <v>55</v>
      </c>
      <c r="F76" s="2" t="s">
        <v>230</v>
      </c>
      <c r="G76" s="2"/>
      <c r="H76" s="2"/>
    </row>
    <row r="77" customFormat="false" ht="15" hidden="false" customHeight="false" outlineLevel="0" collapsed="false">
      <c r="A77" s="2" t="s">
        <v>53</v>
      </c>
      <c r="B77" s="2" t="s">
        <v>231</v>
      </c>
      <c r="C77" s="2" t="s">
        <v>232</v>
      </c>
      <c r="D77" s="3" t="s">
        <v>30</v>
      </c>
      <c r="E77" s="3" t="s">
        <v>55</v>
      </c>
      <c r="F77" s="2" t="s">
        <v>233</v>
      </c>
      <c r="G77" s="2"/>
      <c r="H77" s="2"/>
    </row>
    <row r="78" customFormat="false" ht="15" hidden="false" customHeight="false" outlineLevel="0" collapsed="false">
      <c r="A78" s="2" t="s">
        <v>53</v>
      </c>
      <c r="B78" s="2" t="s">
        <v>234</v>
      </c>
      <c r="C78" s="2" t="s">
        <v>235</v>
      </c>
      <c r="D78" s="3" t="s">
        <v>30</v>
      </c>
      <c r="E78" s="3" t="s">
        <v>55</v>
      </c>
      <c r="F78" s="2" t="s">
        <v>236</v>
      </c>
      <c r="G78" s="2"/>
      <c r="H78" s="2"/>
    </row>
    <row r="79" customFormat="false" ht="15" hidden="false" customHeight="false" outlineLevel="0" collapsed="false">
      <c r="A79" s="2" t="s">
        <v>237</v>
      </c>
      <c r="B79" s="2" t="s">
        <v>238</v>
      </c>
      <c r="C79" s="2" t="s">
        <v>239</v>
      </c>
      <c r="D79" s="3" t="s">
        <v>30</v>
      </c>
      <c r="E79" s="3" t="s">
        <v>55</v>
      </c>
      <c r="F79" s="2" t="s">
        <v>240</v>
      </c>
      <c r="G79" s="2"/>
      <c r="H79" s="2"/>
    </row>
    <row r="80" customFormat="false" ht="15" hidden="false" customHeight="false" outlineLevel="0" collapsed="false">
      <c r="A80" s="2" t="s">
        <v>237</v>
      </c>
      <c r="B80" s="2" t="s">
        <v>241</v>
      </c>
      <c r="C80" s="2" t="s">
        <v>242</v>
      </c>
      <c r="D80" s="3" t="s">
        <v>30</v>
      </c>
      <c r="E80" s="3" t="s">
        <v>55</v>
      </c>
      <c r="F80" s="2" t="s">
        <v>243</v>
      </c>
      <c r="G80" s="2"/>
      <c r="H80" s="2"/>
    </row>
    <row r="81" customFormat="false" ht="15" hidden="false" customHeight="false" outlineLevel="0" collapsed="false">
      <c r="A81" s="2" t="s">
        <v>237</v>
      </c>
      <c r="B81" s="2" t="s">
        <v>244</v>
      </c>
      <c r="C81" s="2" t="s">
        <v>245</v>
      </c>
      <c r="D81" s="3" t="s">
        <v>30</v>
      </c>
      <c r="E81" s="3" t="s">
        <v>55</v>
      </c>
      <c r="F81" s="2" t="s">
        <v>246</v>
      </c>
      <c r="G81" s="2"/>
      <c r="H81" s="2"/>
    </row>
    <row r="82" customFormat="false" ht="15" hidden="false" customHeight="false" outlineLevel="0" collapsed="false">
      <c r="A82" s="2" t="s">
        <v>237</v>
      </c>
      <c r="B82" s="2" t="s">
        <v>247</v>
      </c>
      <c r="C82" s="2" t="s">
        <v>248</v>
      </c>
      <c r="D82" s="3" t="s">
        <v>30</v>
      </c>
      <c r="E82" s="3" t="s">
        <v>55</v>
      </c>
      <c r="F82" s="2" t="s">
        <v>249</v>
      </c>
      <c r="G82" s="2"/>
      <c r="H82" s="2"/>
    </row>
    <row r="83" customFormat="false" ht="15" hidden="false" customHeight="false" outlineLevel="0" collapsed="false">
      <c r="A83" s="2" t="s">
        <v>250</v>
      </c>
      <c r="B83" s="2" t="s">
        <v>251</v>
      </c>
      <c r="C83" s="2" t="s">
        <v>252</v>
      </c>
      <c r="D83" s="3" t="s">
        <v>30</v>
      </c>
      <c r="E83" s="3" t="s">
        <v>31</v>
      </c>
      <c r="F83" s="2" t="s">
        <v>253</v>
      </c>
      <c r="G83" s="2"/>
      <c r="H83" s="2"/>
    </row>
    <row r="84" customFormat="false" ht="15" hidden="false" customHeight="false" outlineLevel="0" collapsed="false">
      <c r="A84" s="2" t="s">
        <v>250</v>
      </c>
      <c r="B84" s="2" t="s">
        <v>254</v>
      </c>
      <c r="C84" s="2" t="s">
        <v>255</v>
      </c>
      <c r="D84" s="3" t="s">
        <v>30</v>
      </c>
      <c r="E84" s="3" t="s">
        <v>31</v>
      </c>
      <c r="F84" s="2" t="s">
        <v>256</v>
      </c>
      <c r="G84" s="2"/>
      <c r="H84" s="2"/>
    </row>
    <row r="85" customFormat="false" ht="15" hidden="false" customHeight="false" outlineLevel="0" collapsed="false">
      <c r="A85" s="2" t="s">
        <v>250</v>
      </c>
      <c r="B85" s="2" t="s">
        <v>257</v>
      </c>
      <c r="C85" s="2" t="s">
        <v>258</v>
      </c>
      <c r="D85" s="3" t="s">
        <v>30</v>
      </c>
      <c r="E85" s="3" t="s">
        <v>31</v>
      </c>
      <c r="F85" s="2" t="s">
        <v>259</v>
      </c>
      <c r="G85" s="2"/>
      <c r="H85" s="2"/>
    </row>
    <row r="86" customFormat="false" ht="15" hidden="false" customHeight="false" outlineLevel="0" collapsed="false">
      <c r="A86" s="2" t="s">
        <v>250</v>
      </c>
      <c r="B86" s="2" t="s">
        <v>260</v>
      </c>
      <c r="C86" s="2" t="s">
        <v>261</v>
      </c>
      <c r="D86" s="3" t="s">
        <v>30</v>
      </c>
      <c r="E86" s="3" t="s">
        <v>55</v>
      </c>
      <c r="F86" s="2" t="s">
        <v>262</v>
      </c>
      <c r="G86" s="2"/>
      <c r="H86" s="2"/>
    </row>
    <row r="87" customFormat="false" ht="15" hidden="false" customHeight="false" outlineLevel="0" collapsed="false">
      <c r="A87" s="2" t="s">
        <v>250</v>
      </c>
      <c r="B87" s="2" t="s">
        <v>263</v>
      </c>
      <c r="C87" s="2" t="s">
        <v>264</v>
      </c>
      <c r="D87" s="3" t="s">
        <v>30</v>
      </c>
      <c r="E87" s="3" t="s">
        <v>55</v>
      </c>
      <c r="F87" s="2" t="s">
        <v>265</v>
      </c>
      <c r="G87" s="2"/>
      <c r="H87" s="2"/>
    </row>
    <row r="88" customFormat="false" ht="15" hidden="false" customHeight="false" outlineLevel="0" collapsed="false">
      <c r="A88" s="2" t="s">
        <v>250</v>
      </c>
      <c r="B88" s="2" t="s">
        <v>266</v>
      </c>
      <c r="C88" s="2" t="s">
        <v>267</v>
      </c>
      <c r="D88" s="3" t="s">
        <v>30</v>
      </c>
      <c r="E88" s="3" t="s">
        <v>31</v>
      </c>
      <c r="F88" s="2" t="s">
        <v>268</v>
      </c>
      <c r="G88" s="2"/>
      <c r="H88" s="2"/>
    </row>
    <row r="89" customFormat="false" ht="15" hidden="false" customHeight="false" outlineLevel="0" collapsed="false">
      <c r="A89" s="2" t="s">
        <v>269</v>
      </c>
      <c r="B89" s="2" t="s">
        <v>270</v>
      </c>
      <c r="C89" s="2" t="s">
        <v>271</v>
      </c>
      <c r="D89" s="3" t="s">
        <v>81</v>
      </c>
      <c r="E89" s="3" t="s">
        <v>22</v>
      </c>
      <c r="F89" s="2" t="s">
        <v>272</v>
      </c>
      <c r="G89" s="2"/>
      <c r="H89" s="2"/>
    </row>
    <row r="90" customFormat="false" ht="15" hidden="false" customHeight="false" outlineLevel="0" collapsed="false">
      <c r="A90" s="2" t="s">
        <v>269</v>
      </c>
      <c r="B90" s="2" t="s">
        <v>273</v>
      </c>
      <c r="C90" s="2" t="s">
        <v>274</v>
      </c>
      <c r="D90" s="3" t="s">
        <v>30</v>
      </c>
      <c r="E90" s="3" t="s">
        <v>22</v>
      </c>
      <c r="F90" s="2" t="s">
        <v>120</v>
      </c>
      <c r="G90" s="2"/>
      <c r="H90" s="2"/>
    </row>
    <row r="91" customFormat="false" ht="15" hidden="false" customHeight="false" outlineLevel="0" collapsed="false">
      <c r="A91" s="2" t="s">
        <v>269</v>
      </c>
      <c r="B91" s="2" t="s">
        <v>275</v>
      </c>
      <c r="C91" s="2" t="s">
        <v>276</v>
      </c>
      <c r="D91" s="3" t="s">
        <v>30</v>
      </c>
      <c r="E91" s="3" t="s">
        <v>55</v>
      </c>
      <c r="F91" s="2" t="s">
        <v>277</v>
      </c>
      <c r="G91" s="2"/>
      <c r="H91" s="2"/>
    </row>
    <row r="92" customFormat="false" ht="15" hidden="false" customHeight="false" outlineLevel="0" collapsed="false">
      <c r="A92" s="2" t="s">
        <v>269</v>
      </c>
      <c r="B92" s="2" t="s">
        <v>278</v>
      </c>
      <c r="C92" s="2" t="s">
        <v>279</v>
      </c>
      <c r="D92" s="3" t="s">
        <v>30</v>
      </c>
      <c r="E92" s="3" t="s">
        <v>55</v>
      </c>
      <c r="F92" s="2" t="s">
        <v>280</v>
      </c>
      <c r="G92" s="2"/>
      <c r="H92" s="2"/>
    </row>
    <row r="93" customFormat="false" ht="15" hidden="false" customHeight="false" outlineLevel="0" collapsed="false">
      <c r="A93" s="2" t="s">
        <v>269</v>
      </c>
      <c r="B93" s="2" t="s">
        <v>281</v>
      </c>
      <c r="C93" s="2" t="s">
        <v>282</v>
      </c>
      <c r="D93" s="3" t="s">
        <v>30</v>
      </c>
      <c r="E93" s="3" t="s">
        <v>31</v>
      </c>
      <c r="F93" s="2" t="s">
        <v>32</v>
      </c>
      <c r="G93" s="2"/>
      <c r="H9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4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5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160</v>
      </c>
      <c r="B2" s="2" t="s">
        <v>163</v>
      </c>
      <c r="C2" s="2" t="s">
        <v>164</v>
      </c>
      <c r="D2" s="3" t="s">
        <v>81</v>
      </c>
      <c r="E2" s="3" t="s">
        <v>12</v>
      </c>
      <c r="F2" s="2" t="s">
        <v>165</v>
      </c>
      <c r="G2" s="2"/>
      <c r="H2" s="2"/>
    </row>
    <row r="3" customFormat="false" ht="23.85" hidden="false" customHeight="false" outlineLevel="0" collapsed="false">
      <c r="A3" s="2" t="s">
        <v>63</v>
      </c>
      <c r="B3" s="2" t="s">
        <v>76</v>
      </c>
      <c r="C3" s="2" t="s">
        <v>77</v>
      </c>
      <c r="D3" s="3" t="s">
        <v>30</v>
      </c>
      <c r="E3" s="3" t="s">
        <v>12</v>
      </c>
      <c r="F3" s="2" t="s">
        <v>78</v>
      </c>
      <c r="G3" s="2"/>
      <c r="H3" s="2"/>
    </row>
    <row r="4" customFormat="false" ht="15" hidden="false" customHeight="false" outlineLevel="0" collapsed="false">
      <c r="A4" s="2" t="s">
        <v>8</v>
      </c>
      <c r="B4" s="2" t="s">
        <v>9</v>
      </c>
      <c r="C4" s="2" t="s">
        <v>10</v>
      </c>
      <c r="D4" s="3" t="s">
        <v>11</v>
      </c>
      <c r="E4" s="3" t="s">
        <v>12</v>
      </c>
      <c r="F4" s="2" t="s">
        <v>13</v>
      </c>
      <c r="G4" s="2"/>
      <c r="H4" s="2"/>
    </row>
    <row r="5" customFormat="false" ht="15" hidden="false" customHeight="false" outlineLevel="0" collapsed="false">
      <c r="A5" s="2" t="s">
        <v>8</v>
      </c>
      <c r="B5" s="2" t="s">
        <v>14</v>
      </c>
      <c r="C5" s="2" t="s">
        <v>15</v>
      </c>
      <c r="D5" s="3" t="s">
        <v>11</v>
      </c>
      <c r="E5" s="3" t="s">
        <v>12</v>
      </c>
      <c r="F5" s="2" t="s">
        <v>16</v>
      </c>
      <c r="G5" s="2"/>
      <c r="H5" s="2"/>
    </row>
    <row r="6" customFormat="false" ht="15" hidden="false" customHeight="false" outlineLevel="0" collapsed="false">
      <c r="A6" s="2" t="s">
        <v>8</v>
      </c>
      <c r="B6" s="2" t="s">
        <v>17</v>
      </c>
      <c r="C6" s="2" t="s">
        <v>18</v>
      </c>
      <c r="D6" s="3" t="s">
        <v>11</v>
      </c>
      <c r="E6" s="3" t="s">
        <v>12</v>
      </c>
      <c r="F6" s="2" t="s">
        <v>19</v>
      </c>
      <c r="G6" s="2"/>
      <c r="H6" s="2"/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3" t="s">
        <v>11</v>
      </c>
      <c r="E7" s="3" t="s">
        <v>12</v>
      </c>
      <c r="F7" s="2" t="s">
        <v>36</v>
      </c>
      <c r="G7" s="2"/>
      <c r="H7" s="2"/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3" t="s">
        <v>11</v>
      </c>
      <c r="E8" s="3" t="s">
        <v>12</v>
      </c>
      <c r="F8" s="2" t="s">
        <v>44</v>
      </c>
      <c r="G8" s="2"/>
      <c r="H8" s="2"/>
    </row>
    <row r="9" customFormat="false" ht="15" hidden="false" customHeight="false" outlineLevel="0" collapsed="false">
      <c r="A9" s="2" t="s">
        <v>63</v>
      </c>
      <c r="B9" s="2" t="s">
        <v>64</v>
      </c>
      <c r="C9" s="2" t="s">
        <v>65</v>
      </c>
      <c r="D9" s="3" t="s">
        <v>11</v>
      </c>
      <c r="E9" s="3" t="s">
        <v>12</v>
      </c>
      <c r="F9" s="2" t="s">
        <v>66</v>
      </c>
      <c r="G9" s="2"/>
      <c r="H9" s="2"/>
    </row>
    <row r="10" customFormat="false" ht="15" hidden="false" customHeight="false" outlineLevel="0" collapsed="false">
      <c r="A10" s="2" t="s">
        <v>63</v>
      </c>
      <c r="B10" s="2" t="s">
        <v>67</v>
      </c>
      <c r="C10" s="2" t="s">
        <v>68</v>
      </c>
      <c r="D10" s="3" t="s">
        <v>11</v>
      </c>
      <c r="E10" s="3" t="s">
        <v>12</v>
      </c>
      <c r="F10" s="2" t="s">
        <v>69</v>
      </c>
      <c r="G10" s="2"/>
      <c r="H10" s="2"/>
    </row>
    <row r="11" customFormat="false" ht="15" hidden="false" customHeight="false" outlineLevel="0" collapsed="false">
      <c r="A11" s="2" t="s">
        <v>63</v>
      </c>
      <c r="B11" s="2" t="s">
        <v>73</v>
      </c>
      <c r="C11" s="2" t="s">
        <v>74</v>
      </c>
      <c r="D11" s="3" t="s">
        <v>11</v>
      </c>
      <c r="E11" s="3" t="s">
        <v>12</v>
      </c>
      <c r="F11" s="2" t="s">
        <v>75</v>
      </c>
      <c r="G11" s="2"/>
      <c r="H11" s="2"/>
    </row>
    <row r="12" customFormat="false" ht="15" hidden="false" customHeight="false" outlineLevel="0" collapsed="false">
      <c r="A12" s="2" t="s">
        <v>143</v>
      </c>
      <c r="B12" s="2" t="s">
        <v>144</v>
      </c>
      <c r="C12" s="2" t="s">
        <v>145</v>
      </c>
      <c r="D12" s="3" t="s">
        <v>11</v>
      </c>
      <c r="E12" s="3" t="s">
        <v>12</v>
      </c>
      <c r="F12" s="2" t="s">
        <v>146</v>
      </c>
      <c r="G12" s="2"/>
      <c r="H12" s="2"/>
    </row>
    <row r="13" customFormat="false" ht="15" hidden="false" customHeight="false" outlineLevel="0" collapsed="false">
      <c r="A13" s="2" t="s">
        <v>143</v>
      </c>
      <c r="B13" s="2" t="s">
        <v>147</v>
      </c>
      <c r="C13" s="2" t="s">
        <v>148</v>
      </c>
      <c r="D13" s="3" t="s">
        <v>11</v>
      </c>
      <c r="E13" s="3" t="s">
        <v>12</v>
      </c>
      <c r="F13" s="2" t="s">
        <v>149</v>
      </c>
      <c r="G13" s="2"/>
      <c r="H13" s="2"/>
    </row>
    <row r="14" customFormat="false" ht="15" hidden="false" customHeight="false" outlineLevel="0" collapsed="false">
      <c r="A14" s="2" t="s">
        <v>143</v>
      </c>
      <c r="B14" s="2" t="s">
        <v>33</v>
      </c>
      <c r="C14" s="2" t="s">
        <v>152</v>
      </c>
      <c r="D14" s="3" t="s">
        <v>11</v>
      </c>
      <c r="E14" s="3" t="s">
        <v>12</v>
      </c>
      <c r="F14" s="2" t="s">
        <v>36</v>
      </c>
      <c r="G14" s="2"/>
      <c r="H14" s="2"/>
    </row>
    <row r="15" customFormat="false" ht="15" hidden="false" customHeight="false" outlineLevel="0" collapsed="false">
      <c r="A15" s="2" t="s">
        <v>160</v>
      </c>
      <c r="B15" s="2" t="s">
        <v>161</v>
      </c>
      <c r="C15" s="2" t="s">
        <v>162</v>
      </c>
      <c r="D15" s="3" t="s">
        <v>11</v>
      </c>
      <c r="E15" s="3" t="s">
        <v>12</v>
      </c>
      <c r="F15" s="2" t="s">
        <v>36</v>
      </c>
      <c r="G15" s="2"/>
      <c r="H15" s="2"/>
    </row>
    <row r="16" customFormat="false" ht="15" hidden="false" customHeight="false" outlineLevel="0" collapsed="false">
      <c r="A16" s="2" t="s">
        <v>33</v>
      </c>
      <c r="B16" s="2" t="s">
        <v>37</v>
      </c>
      <c r="C16" s="2" t="s">
        <v>38</v>
      </c>
      <c r="D16" s="3" t="s">
        <v>26</v>
      </c>
      <c r="E16" s="3" t="s">
        <v>12</v>
      </c>
      <c r="F16" s="2" t="s">
        <v>39</v>
      </c>
      <c r="G16" s="2"/>
      <c r="H16" s="2"/>
    </row>
    <row r="17" customFormat="false" ht="15" hidden="false" customHeight="false" outlineLevel="0" collapsed="false">
      <c r="A17" s="2" t="s">
        <v>63</v>
      </c>
      <c r="B17" s="2" t="s">
        <v>70</v>
      </c>
      <c r="C17" s="2" t="s">
        <v>71</v>
      </c>
      <c r="D17" s="3" t="s">
        <v>26</v>
      </c>
      <c r="E17" s="3" t="s">
        <v>12</v>
      </c>
      <c r="F17" s="2" t="s">
        <v>72</v>
      </c>
      <c r="G17" s="2"/>
      <c r="H17" s="2"/>
    </row>
    <row r="18" customFormat="false" ht="15" hidden="false" customHeight="false" outlineLevel="0" collapsed="false">
      <c r="A18" s="2" t="s">
        <v>269</v>
      </c>
      <c r="B18" s="2" t="s">
        <v>270</v>
      </c>
      <c r="C18" s="2" t="s">
        <v>271</v>
      </c>
      <c r="D18" s="3" t="s">
        <v>81</v>
      </c>
      <c r="E18" s="3" t="s">
        <v>22</v>
      </c>
      <c r="F18" s="2" t="s">
        <v>272</v>
      </c>
      <c r="G18" s="2"/>
      <c r="H18" s="2"/>
    </row>
    <row r="19" customFormat="false" ht="15" hidden="false" customHeight="false" outlineLevel="0" collapsed="false">
      <c r="A19" s="2" t="s">
        <v>123</v>
      </c>
      <c r="B19" s="2" t="s">
        <v>124</v>
      </c>
      <c r="C19" s="2" t="s">
        <v>125</v>
      </c>
      <c r="D19" s="3" t="s">
        <v>126</v>
      </c>
      <c r="E19" s="3" t="s">
        <v>22</v>
      </c>
      <c r="F19" s="2" t="s">
        <v>127</v>
      </c>
      <c r="G19" s="2"/>
      <c r="H19" s="2"/>
    </row>
    <row r="20" customFormat="false" ht="15" hidden="false" customHeight="false" outlineLevel="0" collapsed="false">
      <c r="A20" s="2" t="s">
        <v>123</v>
      </c>
      <c r="B20" s="2" t="s">
        <v>128</v>
      </c>
      <c r="C20" s="2" t="s">
        <v>129</v>
      </c>
      <c r="D20" s="3" t="s">
        <v>126</v>
      </c>
      <c r="E20" s="3" t="s">
        <v>22</v>
      </c>
      <c r="F20" s="2" t="s">
        <v>130</v>
      </c>
      <c r="G20" s="2"/>
      <c r="H20" s="2"/>
    </row>
    <row r="21" customFormat="false" ht="15" hidden="false" customHeight="false" outlineLevel="0" collapsed="false">
      <c r="A21" s="2" t="s">
        <v>269</v>
      </c>
      <c r="B21" s="2" t="s">
        <v>273</v>
      </c>
      <c r="C21" s="2" t="s">
        <v>274</v>
      </c>
      <c r="D21" s="3" t="s">
        <v>30</v>
      </c>
      <c r="E21" s="3" t="s">
        <v>22</v>
      </c>
      <c r="F21" s="2" t="s">
        <v>120</v>
      </c>
      <c r="G21" s="2"/>
      <c r="H21" s="2"/>
    </row>
    <row r="22" customFormat="false" ht="15" hidden="false" customHeight="false" outlineLevel="0" collapsed="false">
      <c r="A22" s="2" t="s">
        <v>8</v>
      </c>
      <c r="B22" s="2" t="s">
        <v>20</v>
      </c>
      <c r="C22" s="2" t="s">
        <v>21</v>
      </c>
      <c r="D22" s="3" t="s">
        <v>11</v>
      </c>
      <c r="E22" s="3" t="s">
        <v>22</v>
      </c>
      <c r="F22" s="2" t="s">
        <v>23</v>
      </c>
      <c r="G22" s="2"/>
      <c r="H22" s="2"/>
    </row>
    <row r="23" customFormat="false" ht="15" hidden="false" customHeight="false" outlineLevel="0" collapsed="false">
      <c r="A23" s="2" t="s">
        <v>33</v>
      </c>
      <c r="B23" s="2" t="s">
        <v>45</v>
      </c>
      <c r="C23" s="2" t="s">
        <v>46</v>
      </c>
      <c r="D23" s="3" t="s">
        <v>11</v>
      </c>
      <c r="E23" s="3" t="s">
        <v>22</v>
      </c>
      <c r="F23" s="2" t="s">
        <v>47</v>
      </c>
      <c r="G23" s="2"/>
      <c r="H23" s="2"/>
    </row>
    <row r="24" customFormat="false" ht="15" hidden="false" customHeight="false" outlineLevel="0" collapsed="false">
      <c r="A24" s="2" t="s">
        <v>33</v>
      </c>
      <c r="B24" s="2" t="s">
        <v>48</v>
      </c>
      <c r="C24" s="2" t="s">
        <v>49</v>
      </c>
      <c r="D24" s="3" t="s">
        <v>11</v>
      </c>
      <c r="E24" s="3" t="s">
        <v>22</v>
      </c>
      <c r="F24" s="2" t="s">
        <v>47</v>
      </c>
      <c r="G24" s="2"/>
      <c r="H24" s="2"/>
    </row>
    <row r="25" customFormat="false" ht="15" hidden="false" customHeight="false" outlineLevel="0" collapsed="false">
      <c r="A25" s="2" t="s">
        <v>33</v>
      </c>
      <c r="B25" s="2" t="s">
        <v>50</v>
      </c>
      <c r="C25" s="2" t="s">
        <v>51</v>
      </c>
      <c r="D25" s="3" t="s">
        <v>11</v>
      </c>
      <c r="E25" s="3" t="s">
        <v>22</v>
      </c>
      <c r="F25" s="2" t="s">
        <v>52</v>
      </c>
      <c r="G25" s="2"/>
      <c r="H25" s="2"/>
    </row>
    <row r="26" customFormat="false" ht="15" hidden="false" customHeight="false" outlineLevel="0" collapsed="false">
      <c r="A26" s="2" t="s">
        <v>91</v>
      </c>
      <c r="B26" s="2" t="s">
        <v>100</v>
      </c>
      <c r="C26" s="2" t="s">
        <v>101</v>
      </c>
      <c r="D26" s="3" t="s">
        <v>11</v>
      </c>
      <c r="E26" s="3" t="s">
        <v>22</v>
      </c>
      <c r="F26" s="2" t="s">
        <v>36</v>
      </c>
      <c r="G26" s="2"/>
      <c r="H26" s="2"/>
    </row>
    <row r="27" customFormat="false" ht="15" hidden="false" customHeight="false" outlineLevel="0" collapsed="false">
      <c r="A27" s="2" t="s">
        <v>107</v>
      </c>
      <c r="B27" s="2" t="s">
        <v>108</v>
      </c>
      <c r="C27" s="2" t="s">
        <v>109</v>
      </c>
      <c r="D27" s="3" t="s">
        <v>11</v>
      </c>
      <c r="E27" s="3" t="s">
        <v>22</v>
      </c>
      <c r="F27" s="2" t="s">
        <v>36</v>
      </c>
      <c r="G27" s="2"/>
      <c r="H27" s="2"/>
    </row>
    <row r="28" customFormat="false" ht="15" hidden="false" customHeight="false" outlineLevel="0" collapsed="false">
      <c r="A28" s="2" t="s">
        <v>107</v>
      </c>
      <c r="B28" s="2" t="s">
        <v>112</v>
      </c>
      <c r="C28" s="2" t="s">
        <v>113</v>
      </c>
      <c r="D28" s="3" t="s">
        <v>11</v>
      </c>
      <c r="E28" s="3" t="s">
        <v>22</v>
      </c>
      <c r="F28" s="2" t="s">
        <v>114</v>
      </c>
      <c r="G28" s="2"/>
      <c r="H28" s="2"/>
    </row>
    <row r="29" customFormat="false" ht="15" hidden="false" customHeight="false" outlineLevel="0" collapsed="false">
      <c r="A29" s="2" t="s">
        <v>107</v>
      </c>
      <c r="B29" s="2" t="s">
        <v>115</v>
      </c>
      <c r="C29" s="2" t="s">
        <v>116</v>
      </c>
      <c r="D29" s="3" t="s">
        <v>11</v>
      </c>
      <c r="E29" s="3" t="s">
        <v>22</v>
      </c>
      <c r="F29" s="2" t="s">
        <v>117</v>
      </c>
      <c r="G29" s="2"/>
      <c r="H29" s="2"/>
    </row>
    <row r="30" customFormat="false" ht="15" hidden="false" customHeight="false" outlineLevel="0" collapsed="false">
      <c r="A30" s="2" t="s">
        <v>143</v>
      </c>
      <c r="B30" s="2" t="s">
        <v>153</v>
      </c>
      <c r="C30" s="2" t="s">
        <v>154</v>
      </c>
      <c r="D30" s="3" t="s">
        <v>11</v>
      </c>
      <c r="E30" s="3" t="s">
        <v>22</v>
      </c>
      <c r="F30" s="2" t="s">
        <v>155</v>
      </c>
      <c r="G30" s="2"/>
      <c r="H30" s="2"/>
    </row>
    <row r="31" customFormat="false" ht="15" hidden="false" customHeight="false" outlineLevel="0" collapsed="false">
      <c r="A31" s="2" t="s">
        <v>160</v>
      </c>
      <c r="B31" s="2" t="s">
        <v>169</v>
      </c>
      <c r="C31" s="2" t="s">
        <v>170</v>
      </c>
      <c r="D31" s="3" t="s">
        <v>11</v>
      </c>
      <c r="E31" s="3" t="s">
        <v>22</v>
      </c>
      <c r="F31" s="2" t="s">
        <v>171</v>
      </c>
      <c r="G31" s="2"/>
      <c r="H31" s="2"/>
    </row>
    <row r="32" customFormat="false" ht="15" hidden="false" customHeight="false" outlineLevel="0" collapsed="false">
      <c r="A32" s="2" t="s">
        <v>8</v>
      </c>
      <c r="B32" s="2" t="s">
        <v>24</v>
      </c>
      <c r="C32" s="2" t="s">
        <v>25</v>
      </c>
      <c r="D32" s="3" t="s">
        <v>26</v>
      </c>
      <c r="E32" s="3" t="s">
        <v>22</v>
      </c>
      <c r="F32" s="2" t="s">
        <v>27</v>
      </c>
      <c r="G32" s="2"/>
      <c r="H32" s="2"/>
    </row>
    <row r="33" customFormat="false" ht="15" hidden="false" customHeight="false" outlineLevel="0" collapsed="false">
      <c r="A33" s="2" t="s">
        <v>33</v>
      </c>
      <c r="B33" s="2" t="s">
        <v>40</v>
      </c>
      <c r="C33" s="2" t="s">
        <v>41</v>
      </c>
      <c r="D33" s="3" t="s">
        <v>26</v>
      </c>
      <c r="E33" s="3" t="s">
        <v>22</v>
      </c>
      <c r="F33" s="2" t="s">
        <v>39</v>
      </c>
      <c r="G33" s="2"/>
      <c r="H33" s="2"/>
    </row>
    <row r="34" customFormat="false" ht="15" hidden="false" customHeight="false" outlineLevel="0" collapsed="false">
      <c r="A34" s="2" t="s">
        <v>63</v>
      </c>
      <c r="B34" s="2" t="s">
        <v>85</v>
      </c>
      <c r="C34" s="2" t="s">
        <v>86</v>
      </c>
      <c r="D34" s="3" t="s">
        <v>26</v>
      </c>
      <c r="E34" s="3" t="s">
        <v>22</v>
      </c>
      <c r="F34" s="2" t="s">
        <v>87</v>
      </c>
      <c r="G34" s="2"/>
      <c r="H34" s="2"/>
    </row>
    <row r="35" customFormat="false" ht="15" hidden="false" customHeight="false" outlineLevel="0" collapsed="false">
      <c r="A35" s="2" t="s">
        <v>91</v>
      </c>
      <c r="B35" s="2" t="s">
        <v>92</v>
      </c>
      <c r="C35" s="2" t="s">
        <v>93</v>
      </c>
      <c r="D35" s="3" t="s">
        <v>26</v>
      </c>
      <c r="E35" s="3" t="s">
        <v>22</v>
      </c>
      <c r="F35" s="2" t="s">
        <v>94</v>
      </c>
      <c r="G35" s="2"/>
      <c r="H35" s="2"/>
    </row>
    <row r="36" customFormat="false" ht="15" hidden="false" customHeight="false" outlineLevel="0" collapsed="false">
      <c r="A36" s="2" t="s">
        <v>91</v>
      </c>
      <c r="B36" s="2" t="s">
        <v>95</v>
      </c>
      <c r="C36" s="2" t="s">
        <v>96</v>
      </c>
      <c r="D36" s="3" t="s">
        <v>26</v>
      </c>
      <c r="E36" s="3" t="s">
        <v>22</v>
      </c>
      <c r="F36" s="2" t="s">
        <v>97</v>
      </c>
      <c r="G36" s="2"/>
      <c r="H36" s="2"/>
    </row>
    <row r="37" customFormat="false" ht="15" hidden="false" customHeight="false" outlineLevel="0" collapsed="false">
      <c r="A37" s="2" t="s">
        <v>91</v>
      </c>
      <c r="B37" s="2" t="s">
        <v>102</v>
      </c>
      <c r="C37" s="2" t="s">
        <v>103</v>
      </c>
      <c r="D37" s="3" t="s">
        <v>26</v>
      </c>
      <c r="E37" s="3" t="s">
        <v>22</v>
      </c>
      <c r="F37" s="2" t="s">
        <v>87</v>
      </c>
      <c r="G37" s="2"/>
      <c r="H37" s="2"/>
    </row>
    <row r="38" customFormat="false" ht="15" hidden="false" customHeight="false" outlineLevel="0" collapsed="false">
      <c r="A38" s="2" t="s">
        <v>107</v>
      </c>
      <c r="B38" s="2" t="s">
        <v>110</v>
      </c>
      <c r="C38" s="2" t="s">
        <v>111</v>
      </c>
      <c r="D38" s="3" t="s">
        <v>26</v>
      </c>
      <c r="E38" s="3" t="s">
        <v>22</v>
      </c>
      <c r="F38" s="2" t="s">
        <v>39</v>
      </c>
      <c r="G38" s="2"/>
      <c r="H38" s="2"/>
    </row>
    <row r="39" customFormat="false" ht="15" hidden="false" customHeight="false" outlineLevel="0" collapsed="false">
      <c r="A39" s="2" t="s">
        <v>143</v>
      </c>
      <c r="B39" s="2" t="s">
        <v>150</v>
      </c>
      <c r="C39" s="2" t="s">
        <v>151</v>
      </c>
      <c r="D39" s="3" t="s">
        <v>26</v>
      </c>
      <c r="E39" s="3" t="s">
        <v>22</v>
      </c>
      <c r="F39" s="2" t="s">
        <v>39</v>
      </c>
      <c r="G39" s="2"/>
      <c r="H39" s="2"/>
    </row>
    <row r="40" customFormat="false" ht="15" hidden="false" customHeight="false" outlineLevel="0" collapsed="false">
      <c r="A40" s="2" t="s">
        <v>160</v>
      </c>
      <c r="B40" s="2" t="s">
        <v>166</v>
      </c>
      <c r="C40" s="2" t="s">
        <v>167</v>
      </c>
      <c r="D40" s="3" t="s">
        <v>26</v>
      </c>
      <c r="E40" s="3" t="s">
        <v>22</v>
      </c>
      <c r="F40" s="2" t="s">
        <v>168</v>
      </c>
      <c r="G40" s="2"/>
      <c r="H40" s="2"/>
    </row>
    <row r="41" customFormat="false" ht="15" hidden="false" customHeight="false" outlineLevel="0" collapsed="false">
      <c r="A41" s="2" t="s">
        <v>63</v>
      </c>
      <c r="B41" s="2" t="s">
        <v>79</v>
      </c>
      <c r="C41" s="2" t="s">
        <v>80</v>
      </c>
      <c r="D41" s="3" t="s">
        <v>81</v>
      </c>
      <c r="E41" s="3" t="s">
        <v>55</v>
      </c>
      <c r="F41" s="2" t="s">
        <v>82</v>
      </c>
      <c r="G41" s="2"/>
      <c r="H41" s="2"/>
    </row>
    <row r="42" customFormat="false" ht="15" hidden="false" customHeight="false" outlineLevel="0" collapsed="false">
      <c r="A42" s="2" t="s">
        <v>123</v>
      </c>
      <c r="B42" s="2" t="s">
        <v>131</v>
      </c>
      <c r="C42" s="2" t="s">
        <v>132</v>
      </c>
      <c r="D42" s="3" t="s">
        <v>81</v>
      </c>
      <c r="E42" s="3" t="s">
        <v>55</v>
      </c>
      <c r="F42" s="2" t="s">
        <v>56</v>
      </c>
      <c r="G42" s="2"/>
      <c r="H42" s="2"/>
    </row>
    <row r="43" customFormat="false" ht="15" hidden="false" customHeight="false" outlineLevel="0" collapsed="false">
      <c r="A43" s="2" t="s">
        <v>33</v>
      </c>
      <c r="B43" s="2" t="s">
        <v>53</v>
      </c>
      <c r="C43" s="2" t="s">
        <v>54</v>
      </c>
      <c r="D43" s="3" t="s">
        <v>30</v>
      </c>
      <c r="E43" s="3" t="s">
        <v>55</v>
      </c>
      <c r="F43" s="2" t="s">
        <v>56</v>
      </c>
      <c r="G43" s="2"/>
      <c r="H43" s="2"/>
    </row>
    <row r="44" customFormat="false" ht="15" hidden="false" customHeight="false" outlineLevel="0" collapsed="false">
      <c r="A44" s="2" t="s">
        <v>33</v>
      </c>
      <c r="B44" s="2" t="s">
        <v>57</v>
      </c>
      <c r="C44" s="2" t="s">
        <v>58</v>
      </c>
      <c r="D44" s="3" t="s">
        <v>30</v>
      </c>
      <c r="E44" s="3" t="s">
        <v>55</v>
      </c>
      <c r="F44" s="2" t="s">
        <v>59</v>
      </c>
      <c r="G44" s="2"/>
      <c r="H44" s="2"/>
    </row>
    <row r="45" customFormat="false" ht="15" hidden="false" customHeight="false" outlineLevel="0" collapsed="false">
      <c r="A45" s="2" t="s">
        <v>63</v>
      </c>
      <c r="B45" s="2" t="s">
        <v>83</v>
      </c>
      <c r="C45" s="2" t="s">
        <v>84</v>
      </c>
      <c r="D45" s="3" t="s">
        <v>30</v>
      </c>
      <c r="E45" s="3" t="s">
        <v>55</v>
      </c>
      <c r="F45" s="2" t="s">
        <v>59</v>
      </c>
      <c r="G45" s="2"/>
      <c r="H45" s="2"/>
    </row>
    <row r="46" customFormat="false" ht="15" hidden="false" customHeight="false" outlineLevel="0" collapsed="false">
      <c r="A46" s="2" t="s">
        <v>63</v>
      </c>
      <c r="B46" s="2" t="s">
        <v>88</v>
      </c>
      <c r="C46" s="2" t="s">
        <v>89</v>
      </c>
      <c r="D46" s="3" t="s">
        <v>30</v>
      </c>
      <c r="E46" s="3" t="s">
        <v>55</v>
      </c>
      <c r="F46" s="2" t="s">
        <v>90</v>
      </c>
      <c r="G46" s="2"/>
      <c r="H46" s="2"/>
    </row>
    <row r="47" customFormat="false" ht="15" hidden="false" customHeight="false" outlineLevel="0" collapsed="false">
      <c r="A47" s="2" t="s">
        <v>91</v>
      </c>
      <c r="B47" s="2" t="s">
        <v>104</v>
      </c>
      <c r="C47" s="2" t="s">
        <v>105</v>
      </c>
      <c r="D47" s="3" t="s">
        <v>30</v>
      </c>
      <c r="E47" s="3" t="s">
        <v>55</v>
      </c>
      <c r="F47" s="2" t="s">
        <v>106</v>
      </c>
      <c r="G47" s="2"/>
      <c r="H47" s="2"/>
    </row>
    <row r="48" customFormat="false" ht="15" hidden="false" customHeight="false" outlineLevel="0" collapsed="false">
      <c r="A48" s="2" t="s">
        <v>123</v>
      </c>
      <c r="B48" s="2" t="s">
        <v>133</v>
      </c>
      <c r="C48" s="2" t="s">
        <v>134</v>
      </c>
      <c r="D48" s="3" t="s">
        <v>30</v>
      </c>
      <c r="E48" s="3" t="s">
        <v>55</v>
      </c>
      <c r="F48" s="2" t="s">
        <v>135</v>
      </c>
      <c r="G48" s="2"/>
      <c r="H48" s="2"/>
    </row>
    <row r="49" customFormat="false" ht="15" hidden="false" customHeight="false" outlineLevel="0" collapsed="false">
      <c r="A49" s="2" t="s">
        <v>123</v>
      </c>
      <c r="B49" s="2" t="s">
        <v>138</v>
      </c>
      <c r="C49" s="2" t="s">
        <v>139</v>
      </c>
      <c r="D49" s="3" t="s">
        <v>30</v>
      </c>
      <c r="E49" s="3" t="s">
        <v>55</v>
      </c>
      <c r="F49" s="2" t="s">
        <v>140</v>
      </c>
      <c r="G49" s="2"/>
      <c r="H49" s="2"/>
    </row>
    <row r="50" customFormat="false" ht="15" hidden="false" customHeight="false" outlineLevel="0" collapsed="false">
      <c r="A50" s="2" t="s">
        <v>143</v>
      </c>
      <c r="B50" s="2" t="s">
        <v>156</v>
      </c>
      <c r="C50" s="2" t="s">
        <v>157</v>
      </c>
      <c r="D50" s="3" t="s">
        <v>30</v>
      </c>
      <c r="E50" s="3" t="s">
        <v>55</v>
      </c>
      <c r="F50" s="2" t="s">
        <v>62</v>
      </c>
      <c r="G50" s="2"/>
      <c r="H50" s="2"/>
    </row>
    <row r="51" customFormat="false" ht="15" hidden="false" customHeight="false" outlineLevel="0" collapsed="false">
      <c r="A51" s="2" t="s">
        <v>160</v>
      </c>
      <c r="B51" s="2" t="s">
        <v>172</v>
      </c>
      <c r="C51" s="2" t="s">
        <v>173</v>
      </c>
      <c r="D51" s="3" t="s">
        <v>30</v>
      </c>
      <c r="E51" s="3" t="s">
        <v>55</v>
      </c>
      <c r="F51" s="2" t="s">
        <v>120</v>
      </c>
      <c r="G51" s="2"/>
      <c r="H51" s="2"/>
    </row>
    <row r="52" customFormat="false" ht="15" hidden="false" customHeight="false" outlineLevel="0" collapsed="false">
      <c r="A52" s="2" t="s">
        <v>160</v>
      </c>
      <c r="B52" s="2" t="s">
        <v>178</v>
      </c>
      <c r="C52" s="2" t="s">
        <v>179</v>
      </c>
      <c r="D52" s="3" t="s">
        <v>30</v>
      </c>
      <c r="E52" s="3" t="s">
        <v>55</v>
      </c>
      <c r="F52" s="2" t="s">
        <v>180</v>
      </c>
      <c r="G52" s="2"/>
      <c r="H52" s="2"/>
    </row>
    <row r="53" customFormat="false" ht="15" hidden="false" customHeight="false" outlineLevel="0" collapsed="false">
      <c r="A53" s="2" t="s">
        <v>181</v>
      </c>
      <c r="B53" s="2" t="s">
        <v>182</v>
      </c>
      <c r="C53" s="2" t="s">
        <v>183</v>
      </c>
      <c r="D53" s="3" t="s">
        <v>30</v>
      </c>
      <c r="E53" s="3" t="s">
        <v>55</v>
      </c>
      <c r="F53" s="2" t="s">
        <v>184</v>
      </c>
      <c r="G53" s="2"/>
      <c r="H53" s="2"/>
    </row>
    <row r="54" customFormat="false" ht="15" hidden="false" customHeight="false" outlineLevel="0" collapsed="false">
      <c r="A54" s="2" t="s">
        <v>181</v>
      </c>
      <c r="B54" s="2" t="s">
        <v>185</v>
      </c>
      <c r="C54" s="2" t="s">
        <v>186</v>
      </c>
      <c r="D54" s="3" t="s">
        <v>30</v>
      </c>
      <c r="E54" s="3" t="s">
        <v>55</v>
      </c>
      <c r="F54" s="2" t="s">
        <v>187</v>
      </c>
      <c r="G54" s="2"/>
      <c r="H54" s="2"/>
    </row>
    <row r="55" customFormat="false" ht="15" hidden="false" customHeight="false" outlineLevel="0" collapsed="false">
      <c r="A55" s="2" t="s">
        <v>181</v>
      </c>
      <c r="B55" s="2" t="s">
        <v>188</v>
      </c>
      <c r="C55" s="2" t="s">
        <v>189</v>
      </c>
      <c r="D55" s="3" t="s">
        <v>30</v>
      </c>
      <c r="E55" s="3" t="s">
        <v>55</v>
      </c>
      <c r="F55" s="2" t="s">
        <v>190</v>
      </c>
      <c r="G55" s="2"/>
      <c r="H55" s="2"/>
    </row>
    <row r="56" customFormat="false" ht="15" hidden="false" customHeight="false" outlineLevel="0" collapsed="false">
      <c r="A56" s="2" t="s">
        <v>181</v>
      </c>
      <c r="B56" s="2" t="s">
        <v>191</v>
      </c>
      <c r="C56" s="2" t="s">
        <v>192</v>
      </c>
      <c r="D56" s="3" t="s">
        <v>30</v>
      </c>
      <c r="E56" s="3" t="s">
        <v>55</v>
      </c>
      <c r="F56" s="2" t="s">
        <v>193</v>
      </c>
      <c r="G56" s="2"/>
      <c r="H56" s="2"/>
    </row>
    <row r="57" customFormat="false" ht="15" hidden="false" customHeight="false" outlineLevel="0" collapsed="false">
      <c r="A57" s="2" t="s">
        <v>181</v>
      </c>
      <c r="B57" s="2" t="s">
        <v>194</v>
      </c>
      <c r="C57" s="2" t="s">
        <v>195</v>
      </c>
      <c r="D57" s="3" t="s">
        <v>30</v>
      </c>
      <c r="E57" s="3" t="s">
        <v>55</v>
      </c>
      <c r="F57" s="2" t="s">
        <v>196</v>
      </c>
      <c r="G57" s="2"/>
      <c r="H57" s="2"/>
    </row>
    <row r="58" customFormat="false" ht="15" hidden="false" customHeight="false" outlineLevel="0" collapsed="false">
      <c r="A58" s="2" t="s">
        <v>181</v>
      </c>
      <c r="B58" s="2" t="s">
        <v>197</v>
      </c>
      <c r="C58" s="2" t="s">
        <v>198</v>
      </c>
      <c r="D58" s="3" t="s">
        <v>30</v>
      </c>
      <c r="E58" s="3" t="s">
        <v>55</v>
      </c>
      <c r="F58" s="2" t="s">
        <v>199</v>
      </c>
      <c r="G58" s="2"/>
      <c r="H58" s="2"/>
    </row>
    <row r="59" customFormat="false" ht="15" hidden="false" customHeight="false" outlineLevel="0" collapsed="false">
      <c r="A59" s="2" t="s">
        <v>200</v>
      </c>
      <c r="B59" s="2" t="s">
        <v>201</v>
      </c>
      <c r="C59" s="2" t="s">
        <v>202</v>
      </c>
      <c r="D59" s="3" t="s">
        <v>30</v>
      </c>
      <c r="E59" s="3" t="s">
        <v>55</v>
      </c>
      <c r="F59" s="2" t="s">
        <v>203</v>
      </c>
      <c r="G59" s="2"/>
      <c r="H59" s="2"/>
    </row>
    <row r="60" customFormat="false" ht="15" hidden="false" customHeight="false" outlineLevel="0" collapsed="false">
      <c r="A60" s="2" t="s">
        <v>200</v>
      </c>
      <c r="B60" s="2" t="s">
        <v>204</v>
      </c>
      <c r="C60" s="2" t="s">
        <v>205</v>
      </c>
      <c r="D60" s="3" t="s">
        <v>30</v>
      </c>
      <c r="E60" s="3" t="s">
        <v>55</v>
      </c>
      <c r="F60" s="2" t="s">
        <v>206</v>
      </c>
      <c r="G60" s="2"/>
      <c r="H60" s="2"/>
    </row>
    <row r="61" customFormat="false" ht="15" hidden="false" customHeight="false" outlineLevel="0" collapsed="false">
      <c r="A61" s="2" t="s">
        <v>53</v>
      </c>
      <c r="B61" s="2" t="s">
        <v>216</v>
      </c>
      <c r="C61" s="2" t="s">
        <v>217</v>
      </c>
      <c r="D61" s="3" t="s">
        <v>30</v>
      </c>
      <c r="E61" s="3" t="s">
        <v>55</v>
      </c>
      <c r="F61" s="2" t="s">
        <v>218</v>
      </c>
      <c r="G61" s="2"/>
      <c r="H61" s="2"/>
    </row>
    <row r="62" customFormat="false" ht="15" hidden="false" customHeight="false" outlineLevel="0" collapsed="false">
      <c r="A62" s="2" t="s">
        <v>53</v>
      </c>
      <c r="B62" s="2" t="s">
        <v>219</v>
      </c>
      <c r="C62" s="2" t="s">
        <v>220</v>
      </c>
      <c r="D62" s="3" t="s">
        <v>30</v>
      </c>
      <c r="E62" s="3" t="s">
        <v>55</v>
      </c>
      <c r="F62" s="2" t="s">
        <v>221</v>
      </c>
      <c r="G62" s="2"/>
      <c r="H62" s="2"/>
    </row>
    <row r="63" customFormat="false" ht="15" hidden="false" customHeight="false" outlineLevel="0" collapsed="false">
      <c r="A63" s="2" t="s">
        <v>53</v>
      </c>
      <c r="B63" s="2" t="s">
        <v>228</v>
      </c>
      <c r="C63" s="2" t="s">
        <v>229</v>
      </c>
      <c r="D63" s="3" t="s">
        <v>30</v>
      </c>
      <c r="E63" s="3" t="s">
        <v>55</v>
      </c>
      <c r="F63" s="2" t="s">
        <v>230</v>
      </c>
      <c r="G63" s="2"/>
      <c r="H63" s="2"/>
    </row>
    <row r="64" customFormat="false" ht="15" hidden="false" customHeight="false" outlineLevel="0" collapsed="false">
      <c r="A64" s="2" t="s">
        <v>53</v>
      </c>
      <c r="B64" s="2" t="s">
        <v>231</v>
      </c>
      <c r="C64" s="2" t="s">
        <v>232</v>
      </c>
      <c r="D64" s="3" t="s">
        <v>30</v>
      </c>
      <c r="E64" s="3" t="s">
        <v>55</v>
      </c>
      <c r="F64" s="2" t="s">
        <v>233</v>
      </c>
      <c r="G64" s="2"/>
      <c r="H64" s="2"/>
    </row>
    <row r="65" customFormat="false" ht="15" hidden="false" customHeight="false" outlineLevel="0" collapsed="false">
      <c r="A65" s="2" t="s">
        <v>53</v>
      </c>
      <c r="B65" s="2" t="s">
        <v>234</v>
      </c>
      <c r="C65" s="2" t="s">
        <v>235</v>
      </c>
      <c r="D65" s="3" t="s">
        <v>30</v>
      </c>
      <c r="E65" s="3" t="s">
        <v>55</v>
      </c>
      <c r="F65" s="2" t="s">
        <v>236</v>
      </c>
      <c r="G65" s="2"/>
      <c r="H65" s="2"/>
    </row>
    <row r="66" customFormat="false" ht="15" hidden="false" customHeight="false" outlineLevel="0" collapsed="false">
      <c r="A66" s="2" t="s">
        <v>237</v>
      </c>
      <c r="B66" s="2" t="s">
        <v>238</v>
      </c>
      <c r="C66" s="2" t="s">
        <v>239</v>
      </c>
      <c r="D66" s="3" t="s">
        <v>30</v>
      </c>
      <c r="E66" s="3" t="s">
        <v>55</v>
      </c>
      <c r="F66" s="2" t="s">
        <v>240</v>
      </c>
      <c r="G66" s="2"/>
      <c r="H66" s="2"/>
    </row>
    <row r="67" customFormat="false" ht="15" hidden="false" customHeight="false" outlineLevel="0" collapsed="false">
      <c r="A67" s="2" t="s">
        <v>237</v>
      </c>
      <c r="B67" s="2" t="s">
        <v>241</v>
      </c>
      <c r="C67" s="2" t="s">
        <v>242</v>
      </c>
      <c r="D67" s="3" t="s">
        <v>30</v>
      </c>
      <c r="E67" s="3" t="s">
        <v>55</v>
      </c>
      <c r="F67" s="2" t="s">
        <v>243</v>
      </c>
      <c r="G67" s="2"/>
      <c r="H67" s="2"/>
    </row>
    <row r="68" customFormat="false" ht="15" hidden="false" customHeight="false" outlineLevel="0" collapsed="false">
      <c r="A68" s="2" t="s">
        <v>237</v>
      </c>
      <c r="B68" s="2" t="s">
        <v>244</v>
      </c>
      <c r="C68" s="2" t="s">
        <v>245</v>
      </c>
      <c r="D68" s="3" t="s">
        <v>30</v>
      </c>
      <c r="E68" s="3" t="s">
        <v>55</v>
      </c>
      <c r="F68" s="2" t="s">
        <v>246</v>
      </c>
      <c r="G68" s="2"/>
      <c r="H68" s="2"/>
    </row>
    <row r="69" customFormat="false" ht="15" hidden="false" customHeight="false" outlineLevel="0" collapsed="false">
      <c r="A69" s="2" t="s">
        <v>237</v>
      </c>
      <c r="B69" s="2" t="s">
        <v>247</v>
      </c>
      <c r="C69" s="2" t="s">
        <v>248</v>
      </c>
      <c r="D69" s="3" t="s">
        <v>30</v>
      </c>
      <c r="E69" s="3" t="s">
        <v>55</v>
      </c>
      <c r="F69" s="2" t="s">
        <v>249</v>
      </c>
      <c r="G69" s="2"/>
      <c r="H69" s="2"/>
    </row>
    <row r="70" customFormat="false" ht="15" hidden="false" customHeight="false" outlineLevel="0" collapsed="false">
      <c r="A70" s="2" t="s">
        <v>250</v>
      </c>
      <c r="B70" s="2" t="s">
        <v>260</v>
      </c>
      <c r="C70" s="2" t="s">
        <v>261</v>
      </c>
      <c r="D70" s="3" t="s">
        <v>30</v>
      </c>
      <c r="E70" s="3" t="s">
        <v>55</v>
      </c>
      <c r="F70" s="2" t="s">
        <v>262</v>
      </c>
      <c r="G70" s="2"/>
      <c r="H70" s="2"/>
    </row>
    <row r="71" customFormat="false" ht="15" hidden="false" customHeight="false" outlineLevel="0" collapsed="false">
      <c r="A71" s="2" t="s">
        <v>250</v>
      </c>
      <c r="B71" s="2" t="s">
        <v>263</v>
      </c>
      <c r="C71" s="2" t="s">
        <v>264</v>
      </c>
      <c r="D71" s="3" t="s">
        <v>30</v>
      </c>
      <c r="E71" s="3" t="s">
        <v>55</v>
      </c>
      <c r="F71" s="2" t="s">
        <v>265</v>
      </c>
      <c r="G71" s="2"/>
      <c r="H71" s="2"/>
    </row>
    <row r="72" customFormat="false" ht="15" hidden="false" customHeight="false" outlineLevel="0" collapsed="false">
      <c r="A72" s="2" t="s">
        <v>269</v>
      </c>
      <c r="B72" s="2" t="s">
        <v>275</v>
      </c>
      <c r="C72" s="2" t="s">
        <v>276</v>
      </c>
      <c r="D72" s="3" t="s">
        <v>30</v>
      </c>
      <c r="E72" s="3" t="s">
        <v>55</v>
      </c>
      <c r="F72" s="2" t="s">
        <v>277</v>
      </c>
      <c r="G72" s="2"/>
      <c r="H72" s="2"/>
    </row>
    <row r="73" customFormat="false" ht="15" hidden="false" customHeight="false" outlineLevel="0" collapsed="false">
      <c r="A73" s="2" t="s">
        <v>269</v>
      </c>
      <c r="B73" s="2" t="s">
        <v>278</v>
      </c>
      <c r="C73" s="2" t="s">
        <v>279</v>
      </c>
      <c r="D73" s="3" t="s">
        <v>30</v>
      </c>
      <c r="E73" s="3" t="s">
        <v>55</v>
      </c>
      <c r="F73" s="2" t="s">
        <v>280</v>
      </c>
      <c r="G73" s="2"/>
      <c r="H73" s="2"/>
    </row>
    <row r="74" customFormat="false" ht="15" hidden="false" customHeight="false" outlineLevel="0" collapsed="false">
      <c r="A74" s="2" t="s">
        <v>91</v>
      </c>
      <c r="B74" s="2" t="s">
        <v>98</v>
      </c>
      <c r="C74" s="2" t="s">
        <v>99</v>
      </c>
      <c r="D74" s="3" t="s">
        <v>26</v>
      </c>
      <c r="E74" s="3" t="s">
        <v>55</v>
      </c>
      <c r="F74" s="2" t="s">
        <v>94</v>
      </c>
      <c r="G74" s="2"/>
      <c r="H74" s="2"/>
    </row>
    <row r="75" customFormat="false" ht="15" hidden="false" customHeight="false" outlineLevel="0" collapsed="false">
      <c r="A75" s="2" t="s">
        <v>8</v>
      </c>
      <c r="B75" s="2" t="s">
        <v>28</v>
      </c>
      <c r="C75" s="2" t="s">
        <v>29</v>
      </c>
      <c r="D75" s="3" t="s">
        <v>30</v>
      </c>
      <c r="E75" s="3" t="s">
        <v>31</v>
      </c>
      <c r="F75" s="2" t="s">
        <v>32</v>
      </c>
      <c r="G75" s="2"/>
      <c r="H75" s="2"/>
    </row>
    <row r="76" customFormat="false" ht="15" hidden="false" customHeight="false" outlineLevel="0" collapsed="false">
      <c r="A76" s="2" t="s">
        <v>33</v>
      </c>
      <c r="B76" s="2" t="s">
        <v>60</v>
      </c>
      <c r="C76" s="2" t="s">
        <v>61</v>
      </c>
      <c r="D76" s="3" t="s">
        <v>30</v>
      </c>
      <c r="E76" s="3" t="s">
        <v>31</v>
      </c>
      <c r="F76" s="2" t="s">
        <v>62</v>
      </c>
      <c r="G76" s="2"/>
      <c r="H76" s="2"/>
    </row>
    <row r="77" customFormat="false" ht="15" hidden="false" customHeight="false" outlineLevel="0" collapsed="false">
      <c r="A77" s="2" t="s">
        <v>107</v>
      </c>
      <c r="B77" s="2" t="s">
        <v>118</v>
      </c>
      <c r="C77" s="2" t="s">
        <v>119</v>
      </c>
      <c r="D77" s="3" t="s">
        <v>30</v>
      </c>
      <c r="E77" s="3" t="s">
        <v>31</v>
      </c>
      <c r="F77" s="2" t="s">
        <v>120</v>
      </c>
      <c r="G77" s="2"/>
      <c r="H77" s="2"/>
    </row>
    <row r="78" customFormat="false" ht="15" hidden="false" customHeight="false" outlineLevel="0" collapsed="false">
      <c r="A78" s="2" t="s">
        <v>107</v>
      </c>
      <c r="B78" s="2" t="s">
        <v>121</v>
      </c>
      <c r="C78" s="2" t="s">
        <v>122</v>
      </c>
      <c r="D78" s="3" t="s">
        <v>30</v>
      </c>
      <c r="E78" s="3" t="s">
        <v>31</v>
      </c>
      <c r="F78" s="2" t="s">
        <v>62</v>
      </c>
      <c r="G78" s="2"/>
      <c r="H78" s="2"/>
    </row>
    <row r="79" customFormat="false" ht="15" hidden="false" customHeight="false" outlineLevel="0" collapsed="false">
      <c r="A79" s="2" t="s">
        <v>123</v>
      </c>
      <c r="B79" s="2" t="s">
        <v>136</v>
      </c>
      <c r="C79" s="2" t="s">
        <v>137</v>
      </c>
      <c r="D79" s="3" t="s">
        <v>30</v>
      </c>
      <c r="E79" s="3" t="s">
        <v>31</v>
      </c>
      <c r="F79" s="2" t="s">
        <v>32</v>
      </c>
      <c r="G79" s="2"/>
      <c r="H79" s="2"/>
    </row>
    <row r="80" customFormat="false" ht="15" hidden="false" customHeight="false" outlineLevel="0" collapsed="false">
      <c r="A80" s="2" t="s">
        <v>123</v>
      </c>
      <c r="B80" s="2" t="s">
        <v>141</v>
      </c>
      <c r="C80" s="2" t="s">
        <v>142</v>
      </c>
      <c r="D80" s="3" t="s">
        <v>30</v>
      </c>
      <c r="E80" s="3" t="s">
        <v>31</v>
      </c>
      <c r="F80" s="2" t="s">
        <v>140</v>
      </c>
      <c r="G80" s="2"/>
      <c r="H80" s="2"/>
    </row>
    <row r="81" customFormat="false" ht="15" hidden="false" customHeight="false" outlineLevel="0" collapsed="false">
      <c r="A81" s="2" t="s">
        <v>143</v>
      </c>
      <c r="B81" s="2" t="s">
        <v>158</v>
      </c>
      <c r="C81" s="2" t="s">
        <v>159</v>
      </c>
      <c r="D81" s="3" t="s">
        <v>30</v>
      </c>
      <c r="E81" s="3" t="s">
        <v>31</v>
      </c>
      <c r="F81" s="2" t="s">
        <v>62</v>
      </c>
      <c r="G81" s="2"/>
      <c r="H81" s="2"/>
    </row>
    <row r="82" customFormat="false" ht="15" hidden="false" customHeight="false" outlineLevel="0" collapsed="false">
      <c r="A82" s="2" t="s">
        <v>160</v>
      </c>
      <c r="B82" s="2" t="s">
        <v>174</v>
      </c>
      <c r="C82" s="2" t="s">
        <v>175</v>
      </c>
      <c r="D82" s="3" t="s">
        <v>30</v>
      </c>
      <c r="E82" s="3" t="s">
        <v>31</v>
      </c>
      <c r="F82" s="2" t="s">
        <v>62</v>
      </c>
      <c r="G82" s="2"/>
      <c r="H82" s="2"/>
    </row>
    <row r="83" customFormat="false" ht="15" hidden="false" customHeight="false" outlineLevel="0" collapsed="false">
      <c r="A83" s="2" t="s">
        <v>160</v>
      </c>
      <c r="B83" s="2" t="s">
        <v>176</v>
      </c>
      <c r="C83" s="2" t="s">
        <v>177</v>
      </c>
      <c r="D83" s="3" t="s">
        <v>30</v>
      </c>
      <c r="E83" s="3" t="s">
        <v>31</v>
      </c>
      <c r="F83" s="2" t="s">
        <v>62</v>
      </c>
      <c r="G83" s="2"/>
      <c r="H83" s="2"/>
    </row>
    <row r="84" customFormat="false" ht="15" hidden="false" customHeight="false" outlineLevel="0" collapsed="false">
      <c r="A84" s="2" t="s">
        <v>200</v>
      </c>
      <c r="B84" s="2" t="s">
        <v>207</v>
      </c>
      <c r="C84" s="2" t="s">
        <v>208</v>
      </c>
      <c r="D84" s="3" t="s">
        <v>30</v>
      </c>
      <c r="E84" s="3" t="s">
        <v>31</v>
      </c>
      <c r="F84" s="2" t="s">
        <v>209</v>
      </c>
      <c r="G84" s="2"/>
      <c r="H84" s="2"/>
    </row>
    <row r="85" customFormat="false" ht="15" hidden="false" customHeight="false" outlineLevel="0" collapsed="false">
      <c r="A85" s="2" t="s">
        <v>200</v>
      </c>
      <c r="B85" s="2" t="s">
        <v>210</v>
      </c>
      <c r="C85" s="2" t="s">
        <v>211</v>
      </c>
      <c r="D85" s="3" t="s">
        <v>30</v>
      </c>
      <c r="E85" s="3" t="s">
        <v>31</v>
      </c>
      <c r="F85" s="2" t="s">
        <v>212</v>
      </c>
      <c r="G85" s="2"/>
      <c r="H85" s="2"/>
    </row>
    <row r="86" customFormat="false" ht="15" hidden="false" customHeight="false" outlineLevel="0" collapsed="false">
      <c r="A86" s="2" t="s">
        <v>200</v>
      </c>
      <c r="B86" s="2" t="s">
        <v>213</v>
      </c>
      <c r="C86" s="2" t="s">
        <v>214</v>
      </c>
      <c r="D86" s="3" t="s">
        <v>30</v>
      </c>
      <c r="E86" s="3" t="s">
        <v>31</v>
      </c>
      <c r="F86" s="2" t="s">
        <v>215</v>
      </c>
      <c r="G86" s="2"/>
      <c r="H86" s="2"/>
    </row>
    <row r="87" customFormat="false" ht="15" hidden="false" customHeight="false" outlineLevel="0" collapsed="false">
      <c r="A87" s="2" t="s">
        <v>53</v>
      </c>
      <c r="B87" s="2" t="s">
        <v>222</v>
      </c>
      <c r="C87" s="2" t="s">
        <v>223</v>
      </c>
      <c r="D87" s="3" t="s">
        <v>30</v>
      </c>
      <c r="E87" s="3" t="s">
        <v>31</v>
      </c>
      <c r="F87" s="2" t="s">
        <v>224</v>
      </c>
      <c r="G87" s="2"/>
      <c r="H87" s="2"/>
    </row>
    <row r="88" customFormat="false" ht="15" hidden="false" customHeight="false" outlineLevel="0" collapsed="false">
      <c r="A88" s="2" t="s">
        <v>53</v>
      </c>
      <c r="B88" s="2" t="s">
        <v>225</v>
      </c>
      <c r="C88" s="2" t="s">
        <v>226</v>
      </c>
      <c r="D88" s="3" t="s">
        <v>30</v>
      </c>
      <c r="E88" s="3" t="s">
        <v>31</v>
      </c>
      <c r="F88" s="2" t="s">
        <v>227</v>
      </c>
      <c r="G88" s="2"/>
      <c r="H88" s="2"/>
    </row>
    <row r="89" customFormat="false" ht="15" hidden="false" customHeight="false" outlineLevel="0" collapsed="false">
      <c r="A89" s="2" t="s">
        <v>250</v>
      </c>
      <c r="B89" s="2" t="s">
        <v>251</v>
      </c>
      <c r="C89" s="2" t="s">
        <v>252</v>
      </c>
      <c r="D89" s="3" t="s">
        <v>30</v>
      </c>
      <c r="E89" s="3" t="s">
        <v>31</v>
      </c>
      <c r="F89" s="2" t="s">
        <v>253</v>
      </c>
      <c r="G89" s="2"/>
      <c r="H89" s="2"/>
    </row>
    <row r="90" customFormat="false" ht="15" hidden="false" customHeight="false" outlineLevel="0" collapsed="false">
      <c r="A90" s="2" t="s">
        <v>250</v>
      </c>
      <c r="B90" s="2" t="s">
        <v>254</v>
      </c>
      <c r="C90" s="2" t="s">
        <v>255</v>
      </c>
      <c r="D90" s="3" t="s">
        <v>30</v>
      </c>
      <c r="E90" s="3" t="s">
        <v>31</v>
      </c>
      <c r="F90" s="2" t="s">
        <v>256</v>
      </c>
      <c r="G90" s="2"/>
      <c r="H90" s="2"/>
    </row>
    <row r="91" customFormat="false" ht="15" hidden="false" customHeight="false" outlineLevel="0" collapsed="false">
      <c r="A91" s="2" t="s">
        <v>250</v>
      </c>
      <c r="B91" s="2" t="s">
        <v>257</v>
      </c>
      <c r="C91" s="2" t="s">
        <v>258</v>
      </c>
      <c r="D91" s="3" t="s">
        <v>30</v>
      </c>
      <c r="E91" s="3" t="s">
        <v>31</v>
      </c>
      <c r="F91" s="2" t="s">
        <v>259</v>
      </c>
      <c r="G91" s="2"/>
      <c r="H91" s="2"/>
    </row>
    <row r="92" customFormat="false" ht="15" hidden="false" customHeight="false" outlineLevel="0" collapsed="false">
      <c r="A92" s="2" t="s">
        <v>250</v>
      </c>
      <c r="B92" s="2" t="s">
        <v>266</v>
      </c>
      <c r="C92" s="2" t="s">
        <v>267</v>
      </c>
      <c r="D92" s="3" t="s">
        <v>30</v>
      </c>
      <c r="E92" s="3" t="s">
        <v>31</v>
      </c>
      <c r="F92" s="2" t="s">
        <v>268</v>
      </c>
      <c r="G92" s="2"/>
      <c r="H92" s="2"/>
    </row>
    <row r="93" customFormat="false" ht="15" hidden="false" customHeight="false" outlineLevel="0" collapsed="false">
      <c r="A93" s="2" t="s">
        <v>269</v>
      </c>
      <c r="B93" s="2" t="s">
        <v>281</v>
      </c>
      <c r="C93" s="2" t="s">
        <v>282</v>
      </c>
      <c r="D93" s="3" t="s">
        <v>30</v>
      </c>
      <c r="E93" s="3" t="s">
        <v>31</v>
      </c>
      <c r="F93" s="2" t="s">
        <v>32</v>
      </c>
      <c r="G93" s="2"/>
      <c r="H9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4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5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2"/>
      <c r="H2" s="2"/>
    </row>
    <row r="3" customFormat="false" ht="15" hidden="false" customHeight="false" outlineLevel="0" collapsed="false">
      <c r="A3" s="2" t="s">
        <v>8</v>
      </c>
      <c r="B3" s="2" t="s">
        <v>14</v>
      </c>
      <c r="C3" s="2" t="s">
        <v>15</v>
      </c>
      <c r="D3" s="3" t="s">
        <v>11</v>
      </c>
      <c r="E3" s="3" t="s">
        <v>12</v>
      </c>
      <c r="F3" s="2" t="s">
        <v>16</v>
      </c>
      <c r="G3" s="2"/>
      <c r="H3" s="2"/>
    </row>
    <row r="4" customFormat="false" ht="15" hidden="false" customHeight="false" outlineLevel="0" collapsed="false">
      <c r="A4" s="2" t="s">
        <v>8</v>
      </c>
      <c r="B4" s="2" t="s">
        <v>17</v>
      </c>
      <c r="C4" s="2" t="s">
        <v>18</v>
      </c>
      <c r="D4" s="3" t="s">
        <v>11</v>
      </c>
      <c r="E4" s="3" t="s">
        <v>12</v>
      </c>
      <c r="F4" s="2" t="s">
        <v>19</v>
      </c>
      <c r="G4" s="2"/>
      <c r="H4" s="2"/>
    </row>
    <row r="5" customFormat="false" ht="15" hidden="false" customHeight="false" outlineLevel="0" collapsed="false">
      <c r="A5" s="2" t="s">
        <v>33</v>
      </c>
      <c r="B5" s="2" t="s">
        <v>34</v>
      </c>
      <c r="C5" s="2" t="s">
        <v>35</v>
      </c>
      <c r="D5" s="3" t="s">
        <v>11</v>
      </c>
      <c r="E5" s="3" t="s">
        <v>12</v>
      </c>
      <c r="F5" s="2" t="s">
        <v>36</v>
      </c>
      <c r="G5" s="2"/>
      <c r="H5" s="2"/>
    </row>
    <row r="6" customFormat="false" ht="15" hidden="false" customHeight="false" outlineLevel="0" collapsed="false">
      <c r="A6" s="2" t="s">
        <v>33</v>
      </c>
      <c r="B6" s="2" t="s">
        <v>42</v>
      </c>
      <c r="C6" s="2" t="s">
        <v>43</v>
      </c>
      <c r="D6" s="3" t="s">
        <v>11</v>
      </c>
      <c r="E6" s="3" t="s">
        <v>12</v>
      </c>
      <c r="F6" s="2" t="s">
        <v>44</v>
      </c>
      <c r="G6" s="2"/>
      <c r="H6" s="2"/>
    </row>
    <row r="7" customFormat="false" ht="15" hidden="false" customHeight="false" outlineLevel="0" collapsed="false">
      <c r="A7" s="2" t="s">
        <v>63</v>
      </c>
      <c r="B7" s="2" t="s">
        <v>64</v>
      </c>
      <c r="C7" s="2" t="s">
        <v>65</v>
      </c>
      <c r="D7" s="3" t="s">
        <v>11</v>
      </c>
      <c r="E7" s="3" t="s">
        <v>12</v>
      </c>
      <c r="F7" s="2" t="s">
        <v>66</v>
      </c>
      <c r="G7" s="2"/>
      <c r="H7" s="2"/>
    </row>
    <row r="8" customFormat="false" ht="15" hidden="false" customHeight="false" outlineLevel="0" collapsed="false">
      <c r="A8" s="2" t="s">
        <v>63</v>
      </c>
      <c r="B8" s="2" t="s">
        <v>67</v>
      </c>
      <c r="C8" s="2" t="s">
        <v>68</v>
      </c>
      <c r="D8" s="3" t="s">
        <v>11</v>
      </c>
      <c r="E8" s="3" t="s">
        <v>12</v>
      </c>
      <c r="F8" s="2" t="s">
        <v>69</v>
      </c>
      <c r="G8" s="2"/>
      <c r="H8" s="2"/>
    </row>
    <row r="9" customFormat="false" ht="15" hidden="false" customHeight="false" outlineLevel="0" collapsed="false">
      <c r="A9" s="2" t="s">
        <v>63</v>
      </c>
      <c r="B9" s="2" t="s">
        <v>73</v>
      </c>
      <c r="C9" s="2" t="s">
        <v>74</v>
      </c>
      <c r="D9" s="3" t="s">
        <v>11</v>
      </c>
      <c r="E9" s="3" t="s">
        <v>12</v>
      </c>
      <c r="F9" s="2" t="s">
        <v>75</v>
      </c>
      <c r="G9" s="2"/>
      <c r="H9" s="2"/>
    </row>
    <row r="10" customFormat="false" ht="15" hidden="false" customHeight="false" outlineLevel="0" collapsed="false">
      <c r="A10" s="2" t="s">
        <v>143</v>
      </c>
      <c r="B10" s="2" t="s">
        <v>144</v>
      </c>
      <c r="C10" s="2" t="s">
        <v>145</v>
      </c>
      <c r="D10" s="3" t="s">
        <v>11</v>
      </c>
      <c r="E10" s="3" t="s">
        <v>12</v>
      </c>
      <c r="F10" s="2" t="s">
        <v>146</v>
      </c>
      <c r="G10" s="2"/>
      <c r="H10" s="2"/>
    </row>
    <row r="11" customFormat="false" ht="15" hidden="false" customHeight="false" outlineLevel="0" collapsed="false">
      <c r="A11" s="2" t="s">
        <v>143</v>
      </c>
      <c r="B11" s="2" t="s">
        <v>147</v>
      </c>
      <c r="C11" s="2" t="s">
        <v>148</v>
      </c>
      <c r="D11" s="3" t="s">
        <v>11</v>
      </c>
      <c r="E11" s="3" t="s">
        <v>12</v>
      </c>
      <c r="F11" s="2" t="s">
        <v>149</v>
      </c>
      <c r="G11" s="2"/>
      <c r="H11" s="2"/>
    </row>
    <row r="12" customFormat="false" ht="15" hidden="false" customHeight="false" outlineLevel="0" collapsed="false">
      <c r="A12" s="2" t="s">
        <v>143</v>
      </c>
      <c r="B12" s="2" t="s">
        <v>33</v>
      </c>
      <c r="C12" s="2" t="s">
        <v>152</v>
      </c>
      <c r="D12" s="3" t="s">
        <v>11</v>
      </c>
      <c r="E12" s="3" t="s">
        <v>12</v>
      </c>
      <c r="F12" s="2" t="s">
        <v>36</v>
      </c>
      <c r="G12" s="2"/>
      <c r="H12" s="2"/>
    </row>
    <row r="13" customFormat="false" ht="15" hidden="false" customHeight="false" outlineLevel="0" collapsed="false">
      <c r="A13" s="2" t="s">
        <v>160</v>
      </c>
      <c r="B13" s="2" t="s">
        <v>161</v>
      </c>
      <c r="C13" s="2" t="s">
        <v>162</v>
      </c>
      <c r="D13" s="3" t="s">
        <v>11</v>
      </c>
      <c r="E13" s="3" t="s">
        <v>12</v>
      </c>
      <c r="F13" s="2" t="s">
        <v>36</v>
      </c>
      <c r="G13" s="2"/>
      <c r="H13" s="2"/>
    </row>
    <row r="14" customFormat="false" ht="15" hidden="false" customHeight="false" outlineLevel="0" collapsed="false">
      <c r="A14" s="2" t="s">
        <v>8</v>
      </c>
      <c r="B14" s="2" t="s">
        <v>20</v>
      </c>
      <c r="C14" s="2" t="s">
        <v>21</v>
      </c>
      <c r="D14" s="3" t="s">
        <v>11</v>
      </c>
      <c r="E14" s="3" t="s">
        <v>22</v>
      </c>
      <c r="F14" s="2" t="s">
        <v>23</v>
      </c>
      <c r="G14" s="2"/>
      <c r="H14" s="2"/>
    </row>
    <row r="15" customFormat="false" ht="15" hidden="false" customHeight="false" outlineLevel="0" collapsed="false">
      <c r="A15" s="2" t="s">
        <v>33</v>
      </c>
      <c r="B15" s="2" t="s">
        <v>45</v>
      </c>
      <c r="C15" s="2" t="s">
        <v>46</v>
      </c>
      <c r="D15" s="3" t="s">
        <v>11</v>
      </c>
      <c r="E15" s="3" t="s">
        <v>22</v>
      </c>
      <c r="F15" s="2" t="s">
        <v>47</v>
      </c>
      <c r="G15" s="2"/>
      <c r="H15" s="2"/>
    </row>
    <row r="16" customFormat="false" ht="15" hidden="false" customHeight="false" outlineLevel="0" collapsed="false">
      <c r="A16" s="2" t="s">
        <v>33</v>
      </c>
      <c r="B16" s="2" t="s">
        <v>48</v>
      </c>
      <c r="C16" s="2" t="s">
        <v>49</v>
      </c>
      <c r="D16" s="3" t="s">
        <v>11</v>
      </c>
      <c r="E16" s="3" t="s">
        <v>22</v>
      </c>
      <c r="F16" s="2" t="s">
        <v>47</v>
      </c>
      <c r="G16" s="2"/>
      <c r="H16" s="2"/>
    </row>
    <row r="17" customFormat="false" ht="15" hidden="false" customHeight="false" outlineLevel="0" collapsed="false">
      <c r="A17" s="2" t="s">
        <v>33</v>
      </c>
      <c r="B17" s="2" t="s">
        <v>50</v>
      </c>
      <c r="C17" s="2" t="s">
        <v>51</v>
      </c>
      <c r="D17" s="3" t="s">
        <v>11</v>
      </c>
      <c r="E17" s="3" t="s">
        <v>22</v>
      </c>
      <c r="F17" s="2" t="s">
        <v>52</v>
      </c>
      <c r="G17" s="2"/>
      <c r="H17" s="2"/>
    </row>
    <row r="18" customFormat="false" ht="15" hidden="false" customHeight="false" outlineLevel="0" collapsed="false">
      <c r="A18" s="2" t="s">
        <v>91</v>
      </c>
      <c r="B18" s="2" t="s">
        <v>100</v>
      </c>
      <c r="C18" s="2" t="s">
        <v>101</v>
      </c>
      <c r="D18" s="3" t="s">
        <v>11</v>
      </c>
      <c r="E18" s="3" t="s">
        <v>22</v>
      </c>
      <c r="F18" s="2" t="s">
        <v>36</v>
      </c>
      <c r="G18" s="2"/>
      <c r="H18" s="2"/>
    </row>
    <row r="19" customFormat="false" ht="15" hidden="false" customHeight="false" outlineLevel="0" collapsed="false">
      <c r="A19" s="2" t="s">
        <v>107</v>
      </c>
      <c r="B19" s="2" t="s">
        <v>108</v>
      </c>
      <c r="C19" s="2" t="s">
        <v>109</v>
      </c>
      <c r="D19" s="3" t="s">
        <v>11</v>
      </c>
      <c r="E19" s="3" t="s">
        <v>22</v>
      </c>
      <c r="F19" s="2" t="s">
        <v>36</v>
      </c>
      <c r="G19" s="2"/>
      <c r="H19" s="2"/>
    </row>
    <row r="20" customFormat="false" ht="15" hidden="false" customHeight="false" outlineLevel="0" collapsed="false">
      <c r="A20" s="2" t="s">
        <v>107</v>
      </c>
      <c r="B20" s="2" t="s">
        <v>112</v>
      </c>
      <c r="C20" s="2" t="s">
        <v>113</v>
      </c>
      <c r="D20" s="3" t="s">
        <v>11</v>
      </c>
      <c r="E20" s="3" t="s">
        <v>22</v>
      </c>
      <c r="F20" s="2" t="s">
        <v>114</v>
      </c>
      <c r="G20" s="2"/>
      <c r="H20" s="2"/>
    </row>
    <row r="21" customFormat="false" ht="15" hidden="false" customHeight="false" outlineLevel="0" collapsed="false">
      <c r="A21" s="2" t="s">
        <v>107</v>
      </c>
      <c r="B21" s="2" t="s">
        <v>115</v>
      </c>
      <c r="C21" s="2" t="s">
        <v>116</v>
      </c>
      <c r="D21" s="3" t="s">
        <v>11</v>
      </c>
      <c r="E21" s="3" t="s">
        <v>22</v>
      </c>
      <c r="F21" s="2" t="s">
        <v>117</v>
      </c>
      <c r="G21" s="2"/>
      <c r="H21" s="2"/>
    </row>
    <row r="22" customFormat="false" ht="15" hidden="false" customHeight="false" outlineLevel="0" collapsed="false">
      <c r="A22" s="2" t="s">
        <v>143</v>
      </c>
      <c r="B22" s="2" t="s">
        <v>153</v>
      </c>
      <c r="C22" s="2" t="s">
        <v>154</v>
      </c>
      <c r="D22" s="3" t="s">
        <v>11</v>
      </c>
      <c r="E22" s="3" t="s">
        <v>22</v>
      </c>
      <c r="F22" s="2" t="s">
        <v>155</v>
      </c>
      <c r="G22" s="2"/>
      <c r="H22" s="2"/>
    </row>
    <row r="23" customFormat="false" ht="15" hidden="false" customHeight="false" outlineLevel="0" collapsed="false">
      <c r="A23" s="2" t="s">
        <v>160</v>
      </c>
      <c r="B23" s="2" t="s">
        <v>169</v>
      </c>
      <c r="C23" s="2" t="s">
        <v>170</v>
      </c>
      <c r="D23" s="3" t="s">
        <v>11</v>
      </c>
      <c r="E23" s="3" t="s">
        <v>22</v>
      </c>
      <c r="F23" s="2" t="s">
        <v>171</v>
      </c>
      <c r="G23" s="2"/>
      <c r="H23" s="2"/>
    </row>
    <row r="24" customFormat="false" ht="15" hidden="false" customHeight="false" outlineLevel="0" collapsed="false">
      <c r="A24" s="2" t="s">
        <v>33</v>
      </c>
      <c r="B24" s="2" t="s">
        <v>37</v>
      </c>
      <c r="C24" s="2" t="s">
        <v>38</v>
      </c>
      <c r="D24" s="3" t="s">
        <v>26</v>
      </c>
      <c r="E24" s="3" t="s">
        <v>12</v>
      </c>
      <c r="F24" s="2" t="s">
        <v>39</v>
      </c>
      <c r="G24" s="2"/>
      <c r="H24" s="2"/>
    </row>
    <row r="25" customFormat="false" ht="15" hidden="false" customHeight="false" outlineLevel="0" collapsed="false">
      <c r="A25" s="2" t="s">
        <v>63</v>
      </c>
      <c r="B25" s="2" t="s">
        <v>70</v>
      </c>
      <c r="C25" s="2" t="s">
        <v>71</v>
      </c>
      <c r="D25" s="3" t="s">
        <v>26</v>
      </c>
      <c r="E25" s="3" t="s">
        <v>12</v>
      </c>
      <c r="F25" s="2" t="s">
        <v>72</v>
      </c>
      <c r="G25" s="2"/>
      <c r="H25" s="2"/>
    </row>
    <row r="26" customFormat="false" ht="15" hidden="false" customHeight="false" outlineLevel="0" collapsed="false">
      <c r="A26" s="2" t="s">
        <v>8</v>
      </c>
      <c r="B26" s="2" t="s">
        <v>24</v>
      </c>
      <c r="C26" s="2" t="s">
        <v>25</v>
      </c>
      <c r="D26" s="3" t="s">
        <v>26</v>
      </c>
      <c r="E26" s="3" t="s">
        <v>22</v>
      </c>
      <c r="F26" s="2" t="s">
        <v>27</v>
      </c>
      <c r="G26" s="2"/>
      <c r="H26" s="2"/>
    </row>
    <row r="27" customFormat="false" ht="15" hidden="false" customHeight="false" outlineLevel="0" collapsed="false">
      <c r="A27" s="2" t="s">
        <v>33</v>
      </c>
      <c r="B27" s="2" t="s">
        <v>40</v>
      </c>
      <c r="C27" s="2" t="s">
        <v>41</v>
      </c>
      <c r="D27" s="3" t="s">
        <v>26</v>
      </c>
      <c r="E27" s="3" t="s">
        <v>22</v>
      </c>
      <c r="F27" s="2" t="s">
        <v>39</v>
      </c>
      <c r="G27" s="2"/>
      <c r="H27" s="2"/>
    </row>
    <row r="28" customFormat="false" ht="15" hidden="false" customHeight="false" outlineLevel="0" collapsed="false">
      <c r="A28" s="2" t="s">
        <v>63</v>
      </c>
      <c r="B28" s="2" t="s">
        <v>85</v>
      </c>
      <c r="C28" s="2" t="s">
        <v>86</v>
      </c>
      <c r="D28" s="3" t="s">
        <v>26</v>
      </c>
      <c r="E28" s="3" t="s">
        <v>22</v>
      </c>
      <c r="F28" s="2" t="s">
        <v>87</v>
      </c>
      <c r="G28" s="2"/>
      <c r="H28" s="2"/>
    </row>
    <row r="29" customFormat="false" ht="15" hidden="false" customHeight="false" outlineLevel="0" collapsed="false">
      <c r="A29" s="2" t="s">
        <v>91</v>
      </c>
      <c r="B29" s="2" t="s">
        <v>92</v>
      </c>
      <c r="C29" s="2" t="s">
        <v>93</v>
      </c>
      <c r="D29" s="3" t="s">
        <v>26</v>
      </c>
      <c r="E29" s="3" t="s">
        <v>22</v>
      </c>
      <c r="F29" s="2" t="s">
        <v>94</v>
      </c>
      <c r="G29" s="2"/>
      <c r="H29" s="2"/>
    </row>
    <row r="30" customFormat="false" ht="15" hidden="false" customHeight="false" outlineLevel="0" collapsed="false">
      <c r="A30" s="2" t="s">
        <v>91</v>
      </c>
      <c r="B30" s="2" t="s">
        <v>95</v>
      </c>
      <c r="C30" s="2" t="s">
        <v>96</v>
      </c>
      <c r="D30" s="3" t="s">
        <v>26</v>
      </c>
      <c r="E30" s="3" t="s">
        <v>22</v>
      </c>
      <c r="F30" s="2" t="s">
        <v>97</v>
      </c>
      <c r="G30" s="2"/>
      <c r="H30" s="2"/>
    </row>
    <row r="31" customFormat="false" ht="15" hidden="false" customHeight="false" outlineLevel="0" collapsed="false">
      <c r="A31" s="2" t="s">
        <v>91</v>
      </c>
      <c r="B31" s="2" t="s">
        <v>102</v>
      </c>
      <c r="C31" s="2" t="s">
        <v>103</v>
      </c>
      <c r="D31" s="3" t="s">
        <v>26</v>
      </c>
      <c r="E31" s="3" t="s">
        <v>22</v>
      </c>
      <c r="F31" s="2" t="s">
        <v>87</v>
      </c>
      <c r="G31" s="2"/>
      <c r="H31" s="2"/>
    </row>
    <row r="32" customFormat="false" ht="15" hidden="false" customHeight="false" outlineLevel="0" collapsed="false">
      <c r="A32" s="2" t="s">
        <v>107</v>
      </c>
      <c r="B32" s="2" t="s">
        <v>110</v>
      </c>
      <c r="C32" s="2" t="s">
        <v>111</v>
      </c>
      <c r="D32" s="3" t="s">
        <v>26</v>
      </c>
      <c r="E32" s="3" t="s">
        <v>22</v>
      </c>
      <c r="F32" s="2" t="s">
        <v>39</v>
      </c>
      <c r="G32" s="2"/>
      <c r="H32" s="2"/>
    </row>
    <row r="33" customFormat="false" ht="15" hidden="false" customHeight="false" outlineLevel="0" collapsed="false">
      <c r="A33" s="2" t="s">
        <v>143</v>
      </c>
      <c r="B33" s="2" t="s">
        <v>150</v>
      </c>
      <c r="C33" s="2" t="s">
        <v>151</v>
      </c>
      <c r="D33" s="3" t="s">
        <v>26</v>
      </c>
      <c r="E33" s="3" t="s">
        <v>22</v>
      </c>
      <c r="F33" s="2" t="s">
        <v>39</v>
      </c>
      <c r="G33" s="2"/>
      <c r="H33" s="2"/>
    </row>
    <row r="34" customFormat="false" ht="15" hidden="false" customHeight="false" outlineLevel="0" collapsed="false">
      <c r="A34" s="2" t="s">
        <v>160</v>
      </c>
      <c r="B34" s="2" t="s">
        <v>166</v>
      </c>
      <c r="C34" s="2" t="s">
        <v>167</v>
      </c>
      <c r="D34" s="3" t="s">
        <v>26</v>
      </c>
      <c r="E34" s="3" t="s">
        <v>22</v>
      </c>
      <c r="F34" s="2" t="s">
        <v>168</v>
      </c>
      <c r="G34" s="2"/>
      <c r="H34" s="2"/>
    </row>
    <row r="35" customFormat="false" ht="15" hidden="false" customHeight="false" outlineLevel="0" collapsed="false">
      <c r="A35" s="2" t="s">
        <v>91</v>
      </c>
      <c r="B35" s="2" t="s">
        <v>98</v>
      </c>
      <c r="C35" s="2" t="s">
        <v>99</v>
      </c>
      <c r="D35" s="3" t="s">
        <v>26</v>
      </c>
      <c r="E35" s="3" t="s">
        <v>55</v>
      </c>
      <c r="F35" s="2" t="s">
        <v>94</v>
      </c>
      <c r="G35" s="2"/>
      <c r="H35" s="2"/>
    </row>
    <row r="36" customFormat="false" ht="15" hidden="false" customHeight="false" outlineLevel="0" collapsed="false">
      <c r="A36" s="2" t="s">
        <v>123</v>
      </c>
      <c r="B36" s="2" t="s">
        <v>124</v>
      </c>
      <c r="C36" s="2" t="s">
        <v>125</v>
      </c>
      <c r="D36" s="3" t="s">
        <v>126</v>
      </c>
      <c r="E36" s="3" t="s">
        <v>22</v>
      </c>
      <c r="F36" s="2" t="s">
        <v>127</v>
      </c>
      <c r="G36" s="2"/>
      <c r="H36" s="2"/>
    </row>
    <row r="37" customFormat="false" ht="15" hidden="false" customHeight="false" outlineLevel="0" collapsed="false">
      <c r="A37" s="2" t="s">
        <v>123</v>
      </c>
      <c r="B37" s="2" t="s">
        <v>128</v>
      </c>
      <c r="C37" s="2" t="s">
        <v>129</v>
      </c>
      <c r="D37" s="3" t="s">
        <v>126</v>
      </c>
      <c r="E37" s="3" t="s">
        <v>22</v>
      </c>
      <c r="F37" s="2" t="s">
        <v>130</v>
      </c>
      <c r="G37" s="2"/>
      <c r="H37" s="2"/>
    </row>
    <row r="38" customFormat="false" ht="15" hidden="false" customHeight="false" outlineLevel="0" collapsed="false">
      <c r="A38" s="2" t="s">
        <v>160</v>
      </c>
      <c r="B38" s="2" t="s">
        <v>163</v>
      </c>
      <c r="C38" s="2" t="s">
        <v>164</v>
      </c>
      <c r="D38" s="3" t="s">
        <v>81</v>
      </c>
      <c r="E38" s="3" t="s">
        <v>12</v>
      </c>
      <c r="F38" s="2" t="s">
        <v>165</v>
      </c>
      <c r="G38" s="2"/>
      <c r="H38" s="2"/>
    </row>
    <row r="39" customFormat="false" ht="15" hidden="false" customHeight="false" outlineLevel="0" collapsed="false">
      <c r="A39" s="2" t="s">
        <v>269</v>
      </c>
      <c r="B39" s="2" t="s">
        <v>270</v>
      </c>
      <c r="C39" s="2" t="s">
        <v>271</v>
      </c>
      <c r="D39" s="3" t="s">
        <v>81</v>
      </c>
      <c r="E39" s="3" t="s">
        <v>22</v>
      </c>
      <c r="F39" s="2" t="s">
        <v>272</v>
      </c>
      <c r="G39" s="2"/>
      <c r="H39" s="2"/>
    </row>
    <row r="40" customFormat="false" ht="15" hidden="false" customHeight="false" outlineLevel="0" collapsed="false">
      <c r="A40" s="2" t="s">
        <v>63</v>
      </c>
      <c r="B40" s="2" t="s">
        <v>79</v>
      </c>
      <c r="C40" s="2" t="s">
        <v>80</v>
      </c>
      <c r="D40" s="3" t="s">
        <v>81</v>
      </c>
      <c r="E40" s="3" t="s">
        <v>55</v>
      </c>
      <c r="F40" s="2" t="s">
        <v>82</v>
      </c>
      <c r="G40" s="2"/>
      <c r="H40" s="2"/>
    </row>
    <row r="41" customFormat="false" ht="15" hidden="false" customHeight="false" outlineLevel="0" collapsed="false">
      <c r="A41" s="2" t="s">
        <v>123</v>
      </c>
      <c r="B41" s="2" t="s">
        <v>131</v>
      </c>
      <c r="C41" s="2" t="s">
        <v>132</v>
      </c>
      <c r="D41" s="3" t="s">
        <v>81</v>
      </c>
      <c r="E41" s="3" t="s">
        <v>55</v>
      </c>
      <c r="F41" s="2" t="s">
        <v>56</v>
      </c>
      <c r="G41" s="2"/>
      <c r="H41" s="2"/>
    </row>
    <row r="42" customFormat="false" ht="23.85" hidden="false" customHeight="false" outlineLevel="0" collapsed="false">
      <c r="A42" s="2" t="s">
        <v>63</v>
      </c>
      <c r="B42" s="2" t="s">
        <v>76</v>
      </c>
      <c r="C42" s="2" t="s">
        <v>77</v>
      </c>
      <c r="D42" s="3" t="s">
        <v>30</v>
      </c>
      <c r="E42" s="3" t="s">
        <v>12</v>
      </c>
      <c r="F42" s="2" t="s">
        <v>78</v>
      </c>
      <c r="G42" s="2"/>
      <c r="H42" s="2"/>
    </row>
    <row r="43" customFormat="false" ht="15" hidden="false" customHeight="false" outlineLevel="0" collapsed="false">
      <c r="A43" s="2" t="s">
        <v>269</v>
      </c>
      <c r="B43" s="2" t="s">
        <v>273</v>
      </c>
      <c r="C43" s="2" t="s">
        <v>274</v>
      </c>
      <c r="D43" s="3" t="s">
        <v>30</v>
      </c>
      <c r="E43" s="3" t="s">
        <v>22</v>
      </c>
      <c r="F43" s="2" t="s">
        <v>120</v>
      </c>
      <c r="G43" s="2"/>
      <c r="H43" s="2"/>
    </row>
    <row r="44" customFormat="false" ht="15" hidden="false" customHeight="false" outlineLevel="0" collapsed="false">
      <c r="A44" s="2" t="s">
        <v>33</v>
      </c>
      <c r="B44" s="2" t="s">
        <v>53</v>
      </c>
      <c r="C44" s="2" t="s">
        <v>54</v>
      </c>
      <c r="D44" s="3" t="s">
        <v>30</v>
      </c>
      <c r="E44" s="3" t="s">
        <v>55</v>
      </c>
      <c r="F44" s="2" t="s">
        <v>56</v>
      </c>
      <c r="G44" s="2"/>
      <c r="H44" s="2"/>
    </row>
    <row r="45" customFormat="false" ht="15" hidden="false" customHeight="false" outlineLevel="0" collapsed="false">
      <c r="A45" s="2" t="s">
        <v>33</v>
      </c>
      <c r="B45" s="2" t="s">
        <v>57</v>
      </c>
      <c r="C45" s="2" t="s">
        <v>58</v>
      </c>
      <c r="D45" s="3" t="s">
        <v>30</v>
      </c>
      <c r="E45" s="3" t="s">
        <v>55</v>
      </c>
      <c r="F45" s="2" t="s">
        <v>59</v>
      </c>
      <c r="G45" s="2"/>
      <c r="H45" s="2"/>
    </row>
    <row r="46" customFormat="false" ht="15" hidden="false" customHeight="false" outlineLevel="0" collapsed="false">
      <c r="A46" s="2" t="s">
        <v>63</v>
      </c>
      <c r="B46" s="2" t="s">
        <v>83</v>
      </c>
      <c r="C46" s="2" t="s">
        <v>84</v>
      </c>
      <c r="D46" s="3" t="s">
        <v>30</v>
      </c>
      <c r="E46" s="3" t="s">
        <v>55</v>
      </c>
      <c r="F46" s="2" t="s">
        <v>59</v>
      </c>
      <c r="G46" s="2"/>
      <c r="H46" s="2"/>
    </row>
    <row r="47" customFormat="false" ht="15" hidden="false" customHeight="false" outlineLevel="0" collapsed="false">
      <c r="A47" s="2" t="s">
        <v>63</v>
      </c>
      <c r="B47" s="2" t="s">
        <v>88</v>
      </c>
      <c r="C47" s="2" t="s">
        <v>89</v>
      </c>
      <c r="D47" s="3" t="s">
        <v>30</v>
      </c>
      <c r="E47" s="3" t="s">
        <v>55</v>
      </c>
      <c r="F47" s="2" t="s">
        <v>90</v>
      </c>
      <c r="G47" s="2"/>
      <c r="H47" s="2"/>
    </row>
    <row r="48" customFormat="false" ht="15" hidden="false" customHeight="false" outlineLevel="0" collapsed="false">
      <c r="A48" s="2" t="s">
        <v>91</v>
      </c>
      <c r="B48" s="2" t="s">
        <v>104</v>
      </c>
      <c r="C48" s="2" t="s">
        <v>105</v>
      </c>
      <c r="D48" s="3" t="s">
        <v>30</v>
      </c>
      <c r="E48" s="3" t="s">
        <v>55</v>
      </c>
      <c r="F48" s="2" t="s">
        <v>106</v>
      </c>
      <c r="G48" s="2"/>
      <c r="H48" s="2"/>
    </row>
    <row r="49" customFormat="false" ht="15" hidden="false" customHeight="false" outlineLevel="0" collapsed="false">
      <c r="A49" s="2" t="s">
        <v>123</v>
      </c>
      <c r="B49" s="2" t="s">
        <v>133</v>
      </c>
      <c r="C49" s="2" t="s">
        <v>134</v>
      </c>
      <c r="D49" s="3" t="s">
        <v>30</v>
      </c>
      <c r="E49" s="3" t="s">
        <v>55</v>
      </c>
      <c r="F49" s="2" t="s">
        <v>135</v>
      </c>
      <c r="G49" s="2"/>
      <c r="H49" s="2"/>
    </row>
    <row r="50" customFormat="false" ht="15" hidden="false" customHeight="false" outlineLevel="0" collapsed="false">
      <c r="A50" s="2" t="s">
        <v>123</v>
      </c>
      <c r="B50" s="2" t="s">
        <v>138</v>
      </c>
      <c r="C50" s="2" t="s">
        <v>139</v>
      </c>
      <c r="D50" s="3" t="s">
        <v>30</v>
      </c>
      <c r="E50" s="3" t="s">
        <v>55</v>
      </c>
      <c r="F50" s="2" t="s">
        <v>140</v>
      </c>
      <c r="G50" s="2"/>
      <c r="H50" s="2"/>
    </row>
    <row r="51" customFormat="false" ht="15" hidden="false" customHeight="false" outlineLevel="0" collapsed="false">
      <c r="A51" s="2" t="s">
        <v>143</v>
      </c>
      <c r="B51" s="2" t="s">
        <v>156</v>
      </c>
      <c r="C51" s="2" t="s">
        <v>157</v>
      </c>
      <c r="D51" s="3" t="s">
        <v>30</v>
      </c>
      <c r="E51" s="3" t="s">
        <v>55</v>
      </c>
      <c r="F51" s="2" t="s">
        <v>62</v>
      </c>
      <c r="G51" s="2"/>
      <c r="H51" s="2"/>
    </row>
    <row r="52" customFormat="false" ht="15" hidden="false" customHeight="false" outlineLevel="0" collapsed="false">
      <c r="A52" s="2" t="s">
        <v>160</v>
      </c>
      <c r="B52" s="2" t="s">
        <v>172</v>
      </c>
      <c r="C52" s="2" t="s">
        <v>173</v>
      </c>
      <c r="D52" s="3" t="s">
        <v>30</v>
      </c>
      <c r="E52" s="3" t="s">
        <v>55</v>
      </c>
      <c r="F52" s="2" t="s">
        <v>120</v>
      </c>
      <c r="G52" s="2"/>
      <c r="H52" s="2"/>
    </row>
    <row r="53" customFormat="false" ht="15" hidden="false" customHeight="false" outlineLevel="0" collapsed="false">
      <c r="A53" s="2" t="s">
        <v>160</v>
      </c>
      <c r="B53" s="2" t="s">
        <v>178</v>
      </c>
      <c r="C53" s="2" t="s">
        <v>179</v>
      </c>
      <c r="D53" s="3" t="s">
        <v>30</v>
      </c>
      <c r="E53" s="3" t="s">
        <v>55</v>
      </c>
      <c r="F53" s="2" t="s">
        <v>180</v>
      </c>
      <c r="G53" s="2"/>
      <c r="H53" s="2"/>
    </row>
    <row r="54" customFormat="false" ht="15" hidden="false" customHeight="false" outlineLevel="0" collapsed="false">
      <c r="A54" s="2" t="s">
        <v>181</v>
      </c>
      <c r="B54" s="2" t="s">
        <v>182</v>
      </c>
      <c r="C54" s="2" t="s">
        <v>183</v>
      </c>
      <c r="D54" s="3" t="s">
        <v>30</v>
      </c>
      <c r="E54" s="3" t="s">
        <v>55</v>
      </c>
      <c r="F54" s="2" t="s">
        <v>184</v>
      </c>
      <c r="G54" s="2"/>
      <c r="H54" s="2"/>
    </row>
    <row r="55" customFormat="false" ht="15" hidden="false" customHeight="false" outlineLevel="0" collapsed="false">
      <c r="A55" s="2" t="s">
        <v>181</v>
      </c>
      <c r="B55" s="2" t="s">
        <v>185</v>
      </c>
      <c r="C55" s="2" t="s">
        <v>186</v>
      </c>
      <c r="D55" s="3" t="s">
        <v>30</v>
      </c>
      <c r="E55" s="3" t="s">
        <v>55</v>
      </c>
      <c r="F55" s="2" t="s">
        <v>187</v>
      </c>
      <c r="G55" s="2"/>
      <c r="H55" s="2"/>
    </row>
    <row r="56" customFormat="false" ht="15" hidden="false" customHeight="false" outlineLevel="0" collapsed="false">
      <c r="A56" s="2" t="s">
        <v>181</v>
      </c>
      <c r="B56" s="2" t="s">
        <v>188</v>
      </c>
      <c r="C56" s="2" t="s">
        <v>189</v>
      </c>
      <c r="D56" s="3" t="s">
        <v>30</v>
      </c>
      <c r="E56" s="3" t="s">
        <v>55</v>
      </c>
      <c r="F56" s="2" t="s">
        <v>190</v>
      </c>
      <c r="G56" s="2"/>
      <c r="H56" s="2"/>
    </row>
    <row r="57" customFormat="false" ht="15" hidden="false" customHeight="false" outlineLevel="0" collapsed="false">
      <c r="A57" s="2" t="s">
        <v>181</v>
      </c>
      <c r="B57" s="2" t="s">
        <v>191</v>
      </c>
      <c r="C57" s="2" t="s">
        <v>192</v>
      </c>
      <c r="D57" s="3" t="s">
        <v>30</v>
      </c>
      <c r="E57" s="3" t="s">
        <v>55</v>
      </c>
      <c r="F57" s="2" t="s">
        <v>193</v>
      </c>
      <c r="G57" s="2"/>
      <c r="H57" s="2"/>
    </row>
    <row r="58" customFormat="false" ht="15" hidden="false" customHeight="false" outlineLevel="0" collapsed="false">
      <c r="A58" s="2" t="s">
        <v>181</v>
      </c>
      <c r="B58" s="2" t="s">
        <v>194</v>
      </c>
      <c r="C58" s="2" t="s">
        <v>195</v>
      </c>
      <c r="D58" s="3" t="s">
        <v>30</v>
      </c>
      <c r="E58" s="3" t="s">
        <v>55</v>
      </c>
      <c r="F58" s="2" t="s">
        <v>196</v>
      </c>
      <c r="G58" s="2"/>
      <c r="H58" s="2"/>
    </row>
    <row r="59" customFormat="false" ht="15" hidden="false" customHeight="false" outlineLevel="0" collapsed="false">
      <c r="A59" s="2" t="s">
        <v>181</v>
      </c>
      <c r="B59" s="2" t="s">
        <v>197</v>
      </c>
      <c r="C59" s="2" t="s">
        <v>198</v>
      </c>
      <c r="D59" s="3" t="s">
        <v>30</v>
      </c>
      <c r="E59" s="3" t="s">
        <v>55</v>
      </c>
      <c r="F59" s="2" t="s">
        <v>199</v>
      </c>
      <c r="G59" s="2"/>
      <c r="H59" s="2"/>
    </row>
    <row r="60" customFormat="false" ht="15" hidden="false" customHeight="false" outlineLevel="0" collapsed="false">
      <c r="A60" s="2" t="s">
        <v>200</v>
      </c>
      <c r="B60" s="2" t="s">
        <v>201</v>
      </c>
      <c r="C60" s="2" t="s">
        <v>202</v>
      </c>
      <c r="D60" s="3" t="s">
        <v>30</v>
      </c>
      <c r="E60" s="3" t="s">
        <v>55</v>
      </c>
      <c r="F60" s="2" t="s">
        <v>203</v>
      </c>
      <c r="G60" s="2"/>
      <c r="H60" s="2"/>
    </row>
    <row r="61" customFormat="false" ht="15" hidden="false" customHeight="false" outlineLevel="0" collapsed="false">
      <c r="A61" s="2" t="s">
        <v>200</v>
      </c>
      <c r="B61" s="2" t="s">
        <v>204</v>
      </c>
      <c r="C61" s="2" t="s">
        <v>205</v>
      </c>
      <c r="D61" s="3" t="s">
        <v>30</v>
      </c>
      <c r="E61" s="3" t="s">
        <v>55</v>
      </c>
      <c r="F61" s="2" t="s">
        <v>206</v>
      </c>
      <c r="G61" s="2"/>
      <c r="H61" s="2"/>
    </row>
    <row r="62" customFormat="false" ht="15" hidden="false" customHeight="false" outlineLevel="0" collapsed="false">
      <c r="A62" s="2" t="s">
        <v>53</v>
      </c>
      <c r="B62" s="2" t="s">
        <v>216</v>
      </c>
      <c r="C62" s="2" t="s">
        <v>217</v>
      </c>
      <c r="D62" s="3" t="s">
        <v>30</v>
      </c>
      <c r="E62" s="3" t="s">
        <v>55</v>
      </c>
      <c r="F62" s="2" t="s">
        <v>218</v>
      </c>
      <c r="G62" s="2"/>
      <c r="H62" s="2"/>
    </row>
    <row r="63" customFormat="false" ht="15" hidden="false" customHeight="false" outlineLevel="0" collapsed="false">
      <c r="A63" s="2" t="s">
        <v>53</v>
      </c>
      <c r="B63" s="2" t="s">
        <v>219</v>
      </c>
      <c r="C63" s="2" t="s">
        <v>220</v>
      </c>
      <c r="D63" s="3" t="s">
        <v>30</v>
      </c>
      <c r="E63" s="3" t="s">
        <v>55</v>
      </c>
      <c r="F63" s="2" t="s">
        <v>221</v>
      </c>
      <c r="G63" s="2"/>
      <c r="H63" s="2"/>
    </row>
    <row r="64" customFormat="false" ht="15" hidden="false" customHeight="false" outlineLevel="0" collapsed="false">
      <c r="A64" s="2" t="s">
        <v>53</v>
      </c>
      <c r="B64" s="2" t="s">
        <v>228</v>
      </c>
      <c r="C64" s="2" t="s">
        <v>229</v>
      </c>
      <c r="D64" s="3" t="s">
        <v>30</v>
      </c>
      <c r="E64" s="3" t="s">
        <v>55</v>
      </c>
      <c r="F64" s="2" t="s">
        <v>230</v>
      </c>
      <c r="G64" s="2"/>
      <c r="H64" s="2"/>
    </row>
    <row r="65" customFormat="false" ht="15" hidden="false" customHeight="false" outlineLevel="0" collapsed="false">
      <c r="A65" s="2" t="s">
        <v>53</v>
      </c>
      <c r="B65" s="2" t="s">
        <v>231</v>
      </c>
      <c r="C65" s="2" t="s">
        <v>232</v>
      </c>
      <c r="D65" s="3" t="s">
        <v>30</v>
      </c>
      <c r="E65" s="3" t="s">
        <v>55</v>
      </c>
      <c r="F65" s="2" t="s">
        <v>233</v>
      </c>
      <c r="G65" s="2"/>
      <c r="H65" s="2"/>
    </row>
    <row r="66" customFormat="false" ht="15" hidden="false" customHeight="false" outlineLevel="0" collapsed="false">
      <c r="A66" s="2" t="s">
        <v>53</v>
      </c>
      <c r="B66" s="2" t="s">
        <v>234</v>
      </c>
      <c r="C66" s="2" t="s">
        <v>235</v>
      </c>
      <c r="D66" s="3" t="s">
        <v>30</v>
      </c>
      <c r="E66" s="3" t="s">
        <v>55</v>
      </c>
      <c r="F66" s="2" t="s">
        <v>236</v>
      </c>
      <c r="G66" s="2"/>
      <c r="H66" s="2"/>
    </row>
    <row r="67" customFormat="false" ht="15" hidden="false" customHeight="false" outlineLevel="0" collapsed="false">
      <c r="A67" s="2" t="s">
        <v>237</v>
      </c>
      <c r="B67" s="2" t="s">
        <v>238</v>
      </c>
      <c r="C67" s="2" t="s">
        <v>239</v>
      </c>
      <c r="D67" s="3" t="s">
        <v>30</v>
      </c>
      <c r="E67" s="3" t="s">
        <v>55</v>
      </c>
      <c r="F67" s="2" t="s">
        <v>240</v>
      </c>
      <c r="G67" s="2"/>
      <c r="H67" s="2"/>
    </row>
    <row r="68" customFormat="false" ht="15" hidden="false" customHeight="false" outlineLevel="0" collapsed="false">
      <c r="A68" s="2" t="s">
        <v>237</v>
      </c>
      <c r="B68" s="2" t="s">
        <v>241</v>
      </c>
      <c r="C68" s="2" t="s">
        <v>242</v>
      </c>
      <c r="D68" s="3" t="s">
        <v>30</v>
      </c>
      <c r="E68" s="3" t="s">
        <v>55</v>
      </c>
      <c r="F68" s="2" t="s">
        <v>243</v>
      </c>
      <c r="G68" s="2"/>
      <c r="H68" s="2"/>
    </row>
    <row r="69" customFormat="false" ht="15" hidden="false" customHeight="false" outlineLevel="0" collapsed="false">
      <c r="A69" s="2" t="s">
        <v>237</v>
      </c>
      <c r="B69" s="2" t="s">
        <v>244</v>
      </c>
      <c r="C69" s="2" t="s">
        <v>245</v>
      </c>
      <c r="D69" s="3" t="s">
        <v>30</v>
      </c>
      <c r="E69" s="3" t="s">
        <v>55</v>
      </c>
      <c r="F69" s="2" t="s">
        <v>246</v>
      </c>
      <c r="G69" s="2"/>
      <c r="H69" s="2"/>
    </row>
    <row r="70" customFormat="false" ht="15" hidden="false" customHeight="false" outlineLevel="0" collapsed="false">
      <c r="A70" s="2" t="s">
        <v>237</v>
      </c>
      <c r="B70" s="2" t="s">
        <v>247</v>
      </c>
      <c r="C70" s="2" t="s">
        <v>248</v>
      </c>
      <c r="D70" s="3" t="s">
        <v>30</v>
      </c>
      <c r="E70" s="3" t="s">
        <v>55</v>
      </c>
      <c r="F70" s="2" t="s">
        <v>249</v>
      </c>
      <c r="G70" s="2"/>
      <c r="H70" s="2"/>
    </row>
    <row r="71" customFormat="false" ht="15" hidden="false" customHeight="false" outlineLevel="0" collapsed="false">
      <c r="A71" s="2" t="s">
        <v>250</v>
      </c>
      <c r="B71" s="2" t="s">
        <v>260</v>
      </c>
      <c r="C71" s="2" t="s">
        <v>261</v>
      </c>
      <c r="D71" s="3" t="s">
        <v>30</v>
      </c>
      <c r="E71" s="3" t="s">
        <v>55</v>
      </c>
      <c r="F71" s="2" t="s">
        <v>262</v>
      </c>
      <c r="G71" s="2"/>
      <c r="H71" s="2"/>
    </row>
    <row r="72" customFormat="false" ht="15" hidden="false" customHeight="false" outlineLevel="0" collapsed="false">
      <c r="A72" s="2" t="s">
        <v>250</v>
      </c>
      <c r="B72" s="2" t="s">
        <v>263</v>
      </c>
      <c r="C72" s="2" t="s">
        <v>264</v>
      </c>
      <c r="D72" s="3" t="s">
        <v>30</v>
      </c>
      <c r="E72" s="3" t="s">
        <v>55</v>
      </c>
      <c r="F72" s="2" t="s">
        <v>265</v>
      </c>
      <c r="G72" s="2"/>
      <c r="H72" s="2"/>
    </row>
    <row r="73" customFormat="false" ht="15" hidden="false" customHeight="false" outlineLevel="0" collapsed="false">
      <c r="A73" s="2" t="s">
        <v>269</v>
      </c>
      <c r="B73" s="2" t="s">
        <v>275</v>
      </c>
      <c r="C73" s="2" t="s">
        <v>276</v>
      </c>
      <c r="D73" s="3" t="s">
        <v>30</v>
      </c>
      <c r="E73" s="3" t="s">
        <v>55</v>
      </c>
      <c r="F73" s="2" t="s">
        <v>277</v>
      </c>
      <c r="G73" s="2"/>
      <c r="H73" s="2"/>
    </row>
    <row r="74" customFormat="false" ht="15" hidden="false" customHeight="false" outlineLevel="0" collapsed="false">
      <c r="A74" s="2" t="s">
        <v>269</v>
      </c>
      <c r="B74" s="2" t="s">
        <v>278</v>
      </c>
      <c r="C74" s="2" t="s">
        <v>279</v>
      </c>
      <c r="D74" s="3" t="s">
        <v>30</v>
      </c>
      <c r="E74" s="3" t="s">
        <v>55</v>
      </c>
      <c r="F74" s="2" t="s">
        <v>280</v>
      </c>
      <c r="G74" s="2"/>
      <c r="H74" s="2"/>
    </row>
    <row r="75" customFormat="false" ht="15" hidden="false" customHeight="false" outlineLevel="0" collapsed="false">
      <c r="A75" s="2" t="s">
        <v>8</v>
      </c>
      <c r="B75" s="2" t="s">
        <v>28</v>
      </c>
      <c r="C75" s="2" t="s">
        <v>29</v>
      </c>
      <c r="D75" s="3" t="s">
        <v>30</v>
      </c>
      <c r="E75" s="3" t="s">
        <v>31</v>
      </c>
      <c r="F75" s="2" t="s">
        <v>32</v>
      </c>
      <c r="G75" s="2"/>
      <c r="H75" s="2"/>
    </row>
    <row r="76" customFormat="false" ht="15" hidden="false" customHeight="false" outlineLevel="0" collapsed="false">
      <c r="A76" s="2" t="s">
        <v>33</v>
      </c>
      <c r="B76" s="2" t="s">
        <v>60</v>
      </c>
      <c r="C76" s="2" t="s">
        <v>61</v>
      </c>
      <c r="D76" s="3" t="s">
        <v>30</v>
      </c>
      <c r="E76" s="3" t="s">
        <v>31</v>
      </c>
      <c r="F76" s="2" t="s">
        <v>62</v>
      </c>
      <c r="G76" s="2"/>
      <c r="H76" s="2"/>
    </row>
    <row r="77" customFormat="false" ht="15" hidden="false" customHeight="false" outlineLevel="0" collapsed="false">
      <c r="A77" s="2" t="s">
        <v>107</v>
      </c>
      <c r="B77" s="2" t="s">
        <v>118</v>
      </c>
      <c r="C77" s="2" t="s">
        <v>119</v>
      </c>
      <c r="D77" s="3" t="s">
        <v>30</v>
      </c>
      <c r="E77" s="3" t="s">
        <v>31</v>
      </c>
      <c r="F77" s="2" t="s">
        <v>120</v>
      </c>
      <c r="G77" s="2"/>
      <c r="H77" s="2"/>
    </row>
    <row r="78" customFormat="false" ht="15" hidden="false" customHeight="false" outlineLevel="0" collapsed="false">
      <c r="A78" s="2" t="s">
        <v>107</v>
      </c>
      <c r="B78" s="2" t="s">
        <v>121</v>
      </c>
      <c r="C78" s="2" t="s">
        <v>122</v>
      </c>
      <c r="D78" s="3" t="s">
        <v>30</v>
      </c>
      <c r="E78" s="3" t="s">
        <v>31</v>
      </c>
      <c r="F78" s="2" t="s">
        <v>62</v>
      </c>
      <c r="G78" s="2"/>
      <c r="H78" s="2"/>
    </row>
    <row r="79" customFormat="false" ht="15" hidden="false" customHeight="false" outlineLevel="0" collapsed="false">
      <c r="A79" s="2" t="s">
        <v>123</v>
      </c>
      <c r="B79" s="2" t="s">
        <v>136</v>
      </c>
      <c r="C79" s="2" t="s">
        <v>137</v>
      </c>
      <c r="D79" s="3" t="s">
        <v>30</v>
      </c>
      <c r="E79" s="3" t="s">
        <v>31</v>
      </c>
      <c r="F79" s="2" t="s">
        <v>32</v>
      </c>
      <c r="G79" s="2"/>
      <c r="H79" s="2"/>
    </row>
    <row r="80" customFormat="false" ht="15" hidden="false" customHeight="false" outlineLevel="0" collapsed="false">
      <c r="A80" s="2" t="s">
        <v>123</v>
      </c>
      <c r="B80" s="2" t="s">
        <v>141</v>
      </c>
      <c r="C80" s="2" t="s">
        <v>142</v>
      </c>
      <c r="D80" s="3" t="s">
        <v>30</v>
      </c>
      <c r="E80" s="3" t="s">
        <v>31</v>
      </c>
      <c r="F80" s="2" t="s">
        <v>140</v>
      </c>
      <c r="G80" s="2"/>
      <c r="H80" s="2"/>
    </row>
    <row r="81" customFormat="false" ht="15" hidden="false" customHeight="false" outlineLevel="0" collapsed="false">
      <c r="A81" s="2" t="s">
        <v>143</v>
      </c>
      <c r="B81" s="2" t="s">
        <v>158</v>
      </c>
      <c r="C81" s="2" t="s">
        <v>159</v>
      </c>
      <c r="D81" s="3" t="s">
        <v>30</v>
      </c>
      <c r="E81" s="3" t="s">
        <v>31</v>
      </c>
      <c r="F81" s="2" t="s">
        <v>62</v>
      </c>
      <c r="G81" s="2"/>
      <c r="H81" s="2"/>
    </row>
    <row r="82" customFormat="false" ht="15" hidden="false" customHeight="false" outlineLevel="0" collapsed="false">
      <c r="A82" s="2" t="s">
        <v>160</v>
      </c>
      <c r="B82" s="2" t="s">
        <v>174</v>
      </c>
      <c r="C82" s="2" t="s">
        <v>175</v>
      </c>
      <c r="D82" s="3" t="s">
        <v>30</v>
      </c>
      <c r="E82" s="3" t="s">
        <v>31</v>
      </c>
      <c r="F82" s="2" t="s">
        <v>62</v>
      </c>
      <c r="G82" s="2"/>
      <c r="H82" s="2"/>
    </row>
    <row r="83" customFormat="false" ht="15" hidden="false" customHeight="false" outlineLevel="0" collapsed="false">
      <c r="A83" s="2" t="s">
        <v>160</v>
      </c>
      <c r="B83" s="2" t="s">
        <v>176</v>
      </c>
      <c r="C83" s="2" t="s">
        <v>177</v>
      </c>
      <c r="D83" s="3" t="s">
        <v>30</v>
      </c>
      <c r="E83" s="3" t="s">
        <v>31</v>
      </c>
      <c r="F83" s="2" t="s">
        <v>62</v>
      </c>
      <c r="G83" s="2"/>
      <c r="H83" s="2"/>
    </row>
    <row r="84" customFormat="false" ht="15" hidden="false" customHeight="false" outlineLevel="0" collapsed="false">
      <c r="A84" s="2" t="s">
        <v>200</v>
      </c>
      <c r="B84" s="2" t="s">
        <v>207</v>
      </c>
      <c r="C84" s="2" t="s">
        <v>208</v>
      </c>
      <c r="D84" s="3" t="s">
        <v>30</v>
      </c>
      <c r="E84" s="3" t="s">
        <v>31</v>
      </c>
      <c r="F84" s="2" t="s">
        <v>209</v>
      </c>
      <c r="G84" s="2"/>
      <c r="H84" s="2"/>
    </row>
    <row r="85" customFormat="false" ht="15" hidden="false" customHeight="false" outlineLevel="0" collapsed="false">
      <c r="A85" s="2" t="s">
        <v>200</v>
      </c>
      <c r="B85" s="2" t="s">
        <v>210</v>
      </c>
      <c r="C85" s="2" t="s">
        <v>211</v>
      </c>
      <c r="D85" s="3" t="s">
        <v>30</v>
      </c>
      <c r="E85" s="3" t="s">
        <v>31</v>
      </c>
      <c r="F85" s="2" t="s">
        <v>212</v>
      </c>
      <c r="G85" s="2"/>
      <c r="H85" s="2"/>
    </row>
    <row r="86" customFormat="false" ht="15" hidden="false" customHeight="false" outlineLevel="0" collapsed="false">
      <c r="A86" s="2" t="s">
        <v>200</v>
      </c>
      <c r="B86" s="2" t="s">
        <v>213</v>
      </c>
      <c r="C86" s="2" t="s">
        <v>214</v>
      </c>
      <c r="D86" s="3" t="s">
        <v>30</v>
      </c>
      <c r="E86" s="3" t="s">
        <v>31</v>
      </c>
      <c r="F86" s="2" t="s">
        <v>215</v>
      </c>
      <c r="G86" s="2"/>
      <c r="H86" s="2"/>
    </row>
    <row r="87" customFormat="false" ht="15" hidden="false" customHeight="false" outlineLevel="0" collapsed="false">
      <c r="A87" s="2" t="s">
        <v>53</v>
      </c>
      <c r="B87" s="2" t="s">
        <v>222</v>
      </c>
      <c r="C87" s="2" t="s">
        <v>223</v>
      </c>
      <c r="D87" s="3" t="s">
        <v>30</v>
      </c>
      <c r="E87" s="3" t="s">
        <v>31</v>
      </c>
      <c r="F87" s="2" t="s">
        <v>224</v>
      </c>
      <c r="G87" s="2"/>
      <c r="H87" s="2"/>
    </row>
    <row r="88" customFormat="false" ht="15" hidden="false" customHeight="false" outlineLevel="0" collapsed="false">
      <c r="A88" s="2" t="s">
        <v>53</v>
      </c>
      <c r="B88" s="2" t="s">
        <v>225</v>
      </c>
      <c r="C88" s="2" t="s">
        <v>226</v>
      </c>
      <c r="D88" s="3" t="s">
        <v>30</v>
      </c>
      <c r="E88" s="3" t="s">
        <v>31</v>
      </c>
      <c r="F88" s="2" t="s">
        <v>227</v>
      </c>
      <c r="G88" s="2"/>
      <c r="H88" s="2"/>
    </row>
    <row r="89" customFormat="false" ht="15" hidden="false" customHeight="false" outlineLevel="0" collapsed="false">
      <c r="A89" s="2" t="s">
        <v>250</v>
      </c>
      <c r="B89" s="2" t="s">
        <v>251</v>
      </c>
      <c r="C89" s="2" t="s">
        <v>252</v>
      </c>
      <c r="D89" s="3" t="s">
        <v>30</v>
      </c>
      <c r="E89" s="3" t="s">
        <v>31</v>
      </c>
      <c r="F89" s="2" t="s">
        <v>253</v>
      </c>
      <c r="G89" s="2"/>
      <c r="H89" s="2"/>
    </row>
    <row r="90" customFormat="false" ht="15" hidden="false" customHeight="false" outlineLevel="0" collapsed="false">
      <c r="A90" s="2" t="s">
        <v>250</v>
      </c>
      <c r="B90" s="2" t="s">
        <v>254</v>
      </c>
      <c r="C90" s="2" t="s">
        <v>255</v>
      </c>
      <c r="D90" s="3" t="s">
        <v>30</v>
      </c>
      <c r="E90" s="3" t="s">
        <v>31</v>
      </c>
      <c r="F90" s="2" t="s">
        <v>256</v>
      </c>
      <c r="G90" s="2"/>
      <c r="H90" s="2"/>
    </row>
    <row r="91" customFormat="false" ht="15" hidden="false" customHeight="false" outlineLevel="0" collapsed="false">
      <c r="A91" s="2" t="s">
        <v>250</v>
      </c>
      <c r="B91" s="2" t="s">
        <v>257</v>
      </c>
      <c r="C91" s="2" t="s">
        <v>258</v>
      </c>
      <c r="D91" s="3" t="s">
        <v>30</v>
      </c>
      <c r="E91" s="3" t="s">
        <v>31</v>
      </c>
      <c r="F91" s="2" t="s">
        <v>259</v>
      </c>
      <c r="G91" s="2"/>
      <c r="H91" s="2"/>
    </row>
    <row r="92" customFormat="false" ht="15" hidden="false" customHeight="false" outlineLevel="0" collapsed="false">
      <c r="A92" s="2" t="s">
        <v>250</v>
      </c>
      <c r="B92" s="2" t="s">
        <v>266</v>
      </c>
      <c r="C92" s="2" t="s">
        <v>267</v>
      </c>
      <c r="D92" s="3" t="s">
        <v>30</v>
      </c>
      <c r="E92" s="3" t="s">
        <v>31</v>
      </c>
      <c r="F92" s="2" t="s">
        <v>268</v>
      </c>
      <c r="G92" s="2"/>
      <c r="H92" s="2"/>
    </row>
    <row r="93" customFormat="false" ht="15" hidden="false" customHeight="false" outlineLevel="0" collapsed="false">
      <c r="A93" s="2" t="s">
        <v>269</v>
      </c>
      <c r="B93" s="2" t="s">
        <v>281</v>
      </c>
      <c r="C93" s="2" t="s">
        <v>282</v>
      </c>
      <c r="D93" s="3" t="s">
        <v>30</v>
      </c>
      <c r="E93" s="3" t="s">
        <v>31</v>
      </c>
      <c r="F93" s="2" t="s">
        <v>32</v>
      </c>
      <c r="G93" s="2"/>
      <c r="H9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2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4" t="s">
        <v>283</v>
      </c>
      <c r="B1" s="4"/>
      <c r="C1" s="4"/>
      <c r="D1" s="4"/>
    </row>
    <row r="3" customFormat="false" ht="15" hidden="false" customHeight="false" outlineLevel="0" collapsed="false">
      <c r="A3" s="0" t="s">
        <v>284</v>
      </c>
      <c r="B3" s="0" t="s">
        <v>285</v>
      </c>
    </row>
    <row r="4" customFormat="false" ht="15" hidden="false" customHeight="false" outlineLevel="0" collapsed="false">
      <c r="A4" s="0" t="s">
        <v>286</v>
      </c>
      <c r="B4" s="0" t="n">
        <f aca="false">COUNTA('All Features'!B2:B1000)</f>
        <v>92</v>
      </c>
    </row>
    <row r="6" customFormat="false" ht="15" hidden="false" customHeight="false" outlineLevel="0" collapsed="false">
      <c r="A6" s="5" t="s">
        <v>287</v>
      </c>
    </row>
    <row r="7" customFormat="false" ht="15" hidden="false" customHeight="false" outlineLevel="0" collapsed="false">
      <c r="A7" s="6" t="s">
        <v>3</v>
      </c>
      <c r="B7" s="6" t="s">
        <v>288</v>
      </c>
      <c r="C7" s="6" t="s">
        <v>289</v>
      </c>
    </row>
    <row r="8" customFormat="false" ht="15" hidden="false" customHeight="false" outlineLevel="0" collapsed="false">
      <c r="A8" s="0" t="s">
        <v>11</v>
      </c>
      <c r="B8" s="0" t="n">
        <f aca="false">COUNTIF('All Features'!D:D,"Production")</f>
        <v>22</v>
      </c>
      <c r="C8" s="7" t="n">
        <f aca="false">B8/$B$4</f>
        <v>0.239130434782609</v>
      </c>
    </row>
    <row r="9" customFormat="false" ht="15" hidden="false" customHeight="false" outlineLevel="0" collapsed="false">
      <c r="A9" s="0" t="s">
        <v>26</v>
      </c>
      <c r="B9" s="0" t="n">
        <f aca="false">COUNTIF('All Features'!D:D,"Test")</f>
        <v>12</v>
      </c>
      <c r="C9" s="7" t="n">
        <f aca="false">B9/$B$4</f>
        <v>0.130434782608696</v>
      </c>
    </row>
    <row r="10" customFormat="false" ht="15" hidden="false" customHeight="false" outlineLevel="0" collapsed="false">
      <c r="A10" s="0" t="s">
        <v>126</v>
      </c>
      <c r="B10" s="0" t="n">
        <f aca="false">COUNTIF('All Features'!D:D,"Dev")</f>
        <v>2</v>
      </c>
      <c r="C10" s="7" t="n">
        <f aca="false">B10/$B$4</f>
        <v>0.0217391304347826</v>
      </c>
    </row>
    <row r="11" customFormat="false" ht="15" hidden="false" customHeight="false" outlineLevel="0" collapsed="false">
      <c r="A11" s="0" t="s">
        <v>81</v>
      </c>
      <c r="B11" s="0" t="n">
        <f aca="false">COUNTIF('All Features'!D:D,"Design")</f>
        <v>4</v>
      </c>
      <c r="C11" s="7" t="n">
        <f aca="false">B11/$B$4</f>
        <v>0.0434782608695652</v>
      </c>
    </row>
    <row r="12" customFormat="false" ht="15" hidden="false" customHeight="false" outlineLevel="0" collapsed="false">
      <c r="A12" s="0" t="s">
        <v>290</v>
      </c>
      <c r="B12" s="0" t="n">
        <f aca="false">COUNTIF('All Features'!D:D,"UAT")</f>
        <v>0</v>
      </c>
      <c r="C12" s="7" t="n">
        <f aca="false">B12/$B$4</f>
        <v>0</v>
      </c>
    </row>
    <row r="13" customFormat="false" ht="15" hidden="false" customHeight="false" outlineLevel="0" collapsed="false">
      <c r="A13" s="0" t="s">
        <v>30</v>
      </c>
      <c r="B13" s="0" t="n">
        <f aca="false">COUNTIF('All Features'!D:D,"Idea")</f>
        <v>52</v>
      </c>
      <c r="C13" s="7" t="n">
        <f aca="false">B13/$B$4</f>
        <v>0.565217391304348</v>
      </c>
    </row>
    <row r="15" customFormat="false" ht="15" hidden="false" customHeight="false" outlineLevel="0" collapsed="false">
      <c r="A15" s="5" t="s">
        <v>291</v>
      </c>
    </row>
    <row r="16" customFormat="false" ht="15" hidden="false" customHeight="false" outlineLevel="0" collapsed="false">
      <c r="A16" s="6" t="s">
        <v>4</v>
      </c>
      <c r="B16" s="6" t="s">
        <v>288</v>
      </c>
      <c r="C16" s="6" t="s">
        <v>289</v>
      </c>
    </row>
    <row r="17" customFormat="false" ht="15" hidden="false" customHeight="false" outlineLevel="0" collapsed="false">
      <c r="A17" s="0" t="s">
        <v>12</v>
      </c>
      <c r="B17" s="0" t="n">
        <f aca="false">COUNTIF('All Features'!E:E,"P0")</f>
        <v>16</v>
      </c>
      <c r="C17" s="7" t="n">
        <f aca="false">B17/$B$4</f>
        <v>0.173913043478261</v>
      </c>
    </row>
    <row r="18" customFormat="false" ht="15" hidden="false" customHeight="false" outlineLevel="0" collapsed="false">
      <c r="A18" s="0" t="s">
        <v>22</v>
      </c>
      <c r="B18" s="0" t="n">
        <f aca="false">COUNTIF('All Features'!E:E,"P1")</f>
        <v>23</v>
      </c>
      <c r="C18" s="7" t="n">
        <f aca="false">B18/$B$4</f>
        <v>0.25</v>
      </c>
    </row>
    <row r="19" customFormat="false" ht="15" hidden="false" customHeight="false" outlineLevel="0" collapsed="false">
      <c r="A19" s="0" t="s">
        <v>55</v>
      </c>
      <c r="B19" s="0" t="n">
        <f aca="false">COUNTIF('All Features'!E:E,"P2")</f>
        <v>34</v>
      </c>
      <c r="C19" s="7" t="n">
        <f aca="false">B19/$B$4</f>
        <v>0.369565217391304</v>
      </c>
    </row>
    <row r="20" customFormat="false" ht="15" hidden="false" customHeight="false" outlineLevel="0" collapsed="false">
      <c r="A20" s="0" t="s">
        <v>31</v>
      </c>
      <c r="B20" s="0" t="n">
        <f aca="false">COUNTIF('All Features'!E:E,"P3")</f>
        <v>19</v>
      </c>
      <c r="C20" s="7" t="n">
        <f aca="false">B20/$B$4</f>
        <v>0.206521739130435</v>
      </c>
    </row>
    <row r="23" customFormat="false" ht="15" hidden="false" customHeight="false" outlineLevel="0" collapsed="false">
      <c r="A23" s="5" t="s">
        <v>292</v>
      </c>
    </row>
    <row r="24" customFormat="false" ht="15" hidden="false" customHeight="false" outlineLevel="0" collapsed="false">
      <c r="A24" s="6" t="s">
        <v>0</v>
      </c>
      <c r="B24" s="6" t="s">
        <v>288</v>
      </c>
    </row>
    <row r="25" customFormat="false" ht="15" hidden="false" customHeight="false" outlineLevel="0" collapsed="false">
      <c r="A25" s="0" t="s">
        <v>33</v>
      </c>
      <c r="B25" s="0" t="n">
        <f aca="false">COUNTIF('All Features'!A:A,"Event Management")</f>
        <v>10</v>
      </c>
    </row>
    <row r="26" customFormat="false" ht="15" hidden="false" customHeight="false" outlineLevel="0" collapsed="false">
      <c r="A26" s="0" t="s">
        <v>63</v>
      </c>
      <c r="B26" s="0" t="n">
        <f aca="false">COUNTIF('All Features'!A:A,"RSVP &amp; Attendance")</f>
        <v>9</v>
      </c>
    </row>
    <row r="27" customFormat="false" ht="15" hidden="false" customHeight="false" outlineLevel="0" collapsed="false">
      <c r="A27" s="0" t="s">
        <v>123</v>
      </c>
      <c r="B27" s="0" t="n">
        <f aca="false">COUNTIF('All Features'!A:A,"Communication")</f>
        <v>7</v>
      </c>
    </row>
    <row r="28" customFormat="false" ht="15" hidden="false" customHeight="false" outlineLevel="0" collapsed="false">
      <c r="A28" s="0" t="s">
        <v>143</v>
      </c>
      <c r="B28" s="0" t="n">
        <f aca="false">COUNTIF('All Features'!A:A,"Admin Features")</f>
        <v>7</v>
      </c>
    </row>
    <row r="29" customFormat="false" ht="15" hidden="false" customHeight="false" outlineLevel="0" collapsed="false">
      <c r="A29" s="0" t="s">
        <v>160</v>
      </c>
      <c r="B29" s="0" t="n">
        <f aca="false">COUNTIF('All Features'!A:A,"Infrastructure")</f>
        <v>8</v>
      </c>
    </row>
    <row r="30" customFormat="false" ht="15" hidden="false" customHeight="false" outlineLevel="0" collapsed="false">
      <c r="A30" s="0" t="s">
        <v>181</v>
      </c>
      <c r="B30" s="0" t="n">
        <f aca="false">COUNTIF('All Features'!A:A,"Contact Enhancement")</f>
        <v>6</v>
      </c>
    </row>
    <row r="31" customFormat="false" ht="15" hidden="false" customHeight="false" outlineLevel="0" collapsed="false">
      <c r="A31" s="0" t="s">
        <v>200</v>
      </c>
      <c r="B31" s="0" t="n">
        <f aca="false">COUNTIF('All Features'!A:A,"Resource Matching")</f>
        <v>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5"/>
    <col collapsed="false" customWidth="true" hidden="false" outlineLevel="0" max="3" min="3" style="0" width="25"/>
  </cols>
  <sheetData>
    <row r="1" customFormat="false" ht="17.35" hidden="false" customHeight="false" outlineLevel="0" collapsed="false">
      <c r="A1" s="8" t="s">
        <v>293</v>
      </c>
      <c r="B1" s="8"/>
      <c r="C1" s="8"/>
    </row>
    <row r="3" customFormat="false" ht="15" hidden="false" customHeight="false" outlineLevel="0" collapsed="false">
      <c r="A3" s="9" t="s">
        <v>4</v>
      </c>
      <c r="B3" s="9" t="s">
        <v>294</v>
      </c>
      <c r="C3" s="9" t="s">
        <v>0</v>
      </c>
    </row>
    <row r="4" customFormat="false" ht="15" hidden="false" customHeight="false" outlineLevel="0" collapsed="false">
      <c r="A4" s="3" t="s">
        <v>12</v>
      </c>
      <c r="B4" s="2" t="s">
        <v>295</v>
      </c>
      <c r="C4" s="2" t="s">
        <v>63</v>
      </c>
    </row>
    <row r="5" customFormat="false" ht="15" hidden="false" customHeight="false" outlineLevel="0" collapsed="false">
      <c r="A5" s="3" t="s">
        <v>12</v>
      </c>
      <c r="B5" s="2" t="s">
        <v>296</v>
      </c>
      <c r="C5" s="2" t="s">
        <v>63</v>
      </c>
    </row>
    <row r="6" customFormat="false" ht="15" hidden="false" customHeight="false" outlineLevel="0" collapsed="false">
      <c r="A6" s="3" t="s">
        <v>12</v>
      </c>
      <c r="B6" s="2" t="s">
        <v>297</v>
      </c>
      <c r="C6" s="2" t="s">
        <v>160</v>
      </c>
    </row>
    <row r="7" customFormat="false" ht="15" hidden="false" customHeight="false" outlineLevel="0" collapsed="false">
      <c r="A7" s="3" t="s">
        <v>12</v>
      </c>
      <c r="B7" s="2" t="s">
        <v>298</v>
      </c>
      <c r="C7" s="2" t="s">
        <v>160</v>
      </c>
    </row>
    <row r="8" customFormat="false" ht="15" hidden="false" customHeight="false" outlineLevel="0" collapsed="false">
      <c r="A8" s="3" t="s">
        <v>22</v>
      </c>
      <c r="B8" s="2" t="s">
        <v>299</v>
      </c>
      <c r="C8" s="2" t="s">
        <v>91</v>
      </c>
    </row>
    <row r="9" customFormat="false" ht="15" hidden="false" customHeight="false" outlineLevel="0" collapsed="false">
      <c r="A9" s="3" t="s">
        <v>22</v>
      </c>
      <c r="B9" s="2" t="s">
        <v>300</v>
      </c>
      <c r="C9" s="2" t="s">
        <v>63</v>
      </c>
    </row>
    <row r="10" customFormat="false" ht="15" hidden="false" customHeight="false" outlineLevel="0" collapsed="false">
      <c r="A10" s="3" t="s">
        <v>22</v>
      </c>
      <c r="B10" s="2" t="s">
        <v>301</v>
      </c>
      <c r="C10" s="2" t="s">
        <v>123</v>
      </c>
    </row>
    <row r="11" customFormat="false" ht="15" hidden="false" customHeight="false" outlineLevel="0" collapsed="false">
      <c r="A11" s="3" t="s">
        <v>22</v>
      </c>
      <c r="B11" s="2" t="s">
        <v>302</v>
      </c>
      <c r="C11" s="2" t="s">
        <v>269</v>
      </c>
    </row>
    <row r="12" customFormat="false" ht="15" hidden="false" customHeight="false" outlineLevel="0" collapsed="false">
      <c r="A12" s="3" t="s">
        <v>22</v>
      </c>
      <c r="B12" s="2" t="s">
        <v>303</v>
      </c>
      <c r="C12" s="2" t="s">
        <v>269</v>
      </c>
    </row>
    <row r="13" customFormat="false" ht="15" hidden="false" customHeight="false" outlineLevel="0" collapsed="false">
      <c r="A13" s="3" t="s">
        <v>55</v>
      </c>
      <c r="B13" s="2" t="s">
        <v>304</v>
      </c>
      <c r="C13" s="2" t="s">
        <v>181</v>
      </c>
    </row>
    <row r="14" customFormat="false" ht="15" hidden="false" customHeight="false" outlineLevel="0" collapsed="false">
      <c r="A14" s="3" t="s">
        <v>55</v>
      </c>
      <c r="B14" s="2" t="s">
        <v>305</v>
      </c>
      <c r="C14" s="2" t="s">
        <v>53</v>
      </c>
    </row>
    <row r="15" customFormat="false" ht="15" hidden="false" customHeight="false" outlineLevel="0" collapsed="false">
      <c r="A15" s="3" t="s">
        <v>55</v>
      </c>
      <c r="B15" s="2" t="s">
        <v>306</v>
      </c>
      <c r="C15" s="2" t="s">
        <v>143</v>
      </c>
    </row>
    <row r="16" customFormat="false" ht="15" hidden="false" customHeight="false" outlineLevel="0" collapsed="false">
      <c r="A16" s="3" t="s">
        <v>55</v>
      </c>
      <c r="B16" s="2" t="s">
        <v>307</v>
      </c>
      <c r="C16" s="2" t="s">
        <v>143</v>
      </c>
    </row>
    <row r="17" customFormat="false" ht="15" hidden="false" customHeight="false" outlineLevel="0" collapsed="false">
      <c r="A17" s="3" t="s">
        <v>31</v>
      </c>
      <c r="B17" s="2" t="s">
        <v>308</v>
      </c>
      <c r="C17" s="2" t="s">
        <v>200</v>
      </c>
    </row>
    <row r="20" customFormat="false" ht="15" hidden="false" customHeight="false" outlineLevel="0" collapsed="false">
      <c r="A20" s="10" t="s">
        <v>309</v>
      </c>
    </row>
    <row r="21" customFormat="false" ht="15" hidden="false" customHeight="false" outlineLevel="0" collapsed="false">
      <c r="A21" s="0" t="s">
        <v>310</v>
      </c>
    </row>
    <row r="22" customFormat="false" ht="15" hidden="false" customHeight="false" outlineLevel="0" collapsed="false">
      <c r="A22" s="0" t="s">
        <v>311</v>
      </c>
    </row>
    <row r="23" customFormat="false" ht="15" hidden="false" customHeight="false" outlineLevel="0" collapsed="false">
      <c r="A23" s="0" t="s">
        <v>312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2026-02-14T19:30:20Z</dcterms:created>
  <dc:creator>openpyxl</dc:creator>
  <dc:description/>
  <dc:language>en-US</dc:language>
  <cp:lastModifiedBy/>
  <dcterms:modified xsi:type="dcterms:W3CDTF">2026-02-14T19:30:20Z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